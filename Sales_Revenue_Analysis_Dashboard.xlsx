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181af7cb8c2fc7/Desktop/"/>
    </mc:Choice>
  </mc:AlternateContent>
  <xr:revisionPtr revIDLastSave="0" documentId="8_{07727E7F-9B86-45E5-ACC2-64B81529E9B4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PRODUCT REVENUE" sheetId="3" r:id="rId1"/>
    <sheet name="PRODUCT QUANTITY" sheetId="4" r:id="rId2"/>
    <sheet name="REGION REVENUE" sheetId="5" r:id="rId3"/>
    <sheet name="SALESPERSON REVENUE" sheetId="7" r:id="rId4"/>
    <sheet name="DASHBOARD" sheetId="8" r:id="rId5"/>
    <sheet name="Sales Data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3" i="1"/>
  <c r="I2" i="1"/>
</calcChain>
</file>

<file path=xl/sharedStrings.xml><?xml version="1.0" encoding="utf-8"?>
<sst xmlns="http://schemas.openxmlformats.org/spreadsheetml/2006/main" count="554" uniqueCount="140">
  <si>
    <t>Date</t>
  </si>
  <si>
    <t>Order ID</t>
  </si>
  <si>
    <t>Product</t>
  </si>
  <si>
    <t>Category</t>
  </si>
  <si>
    <t>Region</t>
  </si>
  <si>
    <t>Salesperson</t>
  </si>
  <si>
    <t>Quantity</t>
  </si>
  <si>
    <t>Unit Price</t>
  </si>
  <si>
    <t>Revenue</t>
  </si>
  <si>
    <t>ORD-1001</t>
  </si>
  <si>
    <t>Wireless Mouse</t>
  </si>
  <si>
    <t>Accessories</t>
  </si>
  <si>
    <t>South</t>
  </si>
  <si>
    <t>Priya</t>
  </si>
  <si>
    <t>ORD-1002</t>
  </si>
  <si>
    <t>North</t>
  </si>
  <si>
    <t>Aarav</t>
  </si>
  <si>
    <t>ORD-1003</t>
  </si>
  <si>
    <t>Kabir</t>
  </si>
  <si>
    <t>ORD-1004</t>
  </si>
  <si>
    <t>Printer</t>
  </si>
  <si>
    <t>Office Equipment</t>
  </si>
  <si>
    <t>ORD-1005</t>
  </si>
  <si>
    <t>Rohan</t>
  </si>
  <si>
    <t>ORD-1006</t>
  </si>
  <si>
    <t>East</t>
  </si>
  <si>
    <t>ORD-1007</t>
  </si>
  <si>
    <t>Desk Lamp</t>
  </si>
  <si>
    <t>Furniture</t>
  </si>
  <si>
    <t>Ananya</t>
  </si>
  <si>
    <t>ORD-1008</t>
  </si>
  <si>
    <t>ORD-1009</t>
  </si>
  <si>
    <t>Laptop</t>
  </si>
  <si>
    <t>Electronics</t>
  </si>
  <si>
    <t>ORD-1010</t>
  </si>
  <si>
    <t>ORD-1011</t>
  </si>
  <si>
    <t>Tablet</t>
  </si>
  <si>
    <t>ORD-1012</t>
  </si>
  <si>
    <t>Keyboard</t>
  </si>
  <si>
    <t>West</t>
  </si>
  <si>
    <t>ORD-1013</t>
  </si>
  <si>
    <t>Headphones</t>
  </si>
  <si>
    <t>ORD-1014</t>
  </si>
  <si>
    <t>ORD-1015</t>
  </si>
  <si>
    <t>Monitor</t>
  </si>
  <si>
    <t>ORD-1016</t>
  </si>
  <si>
    <t>Webcam</t>
  </si>
  <si>
    <t>ORD-1017</t>
  </si>
  <si>
    <t>Office Chair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</si>
  <si>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</si>
  <si>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</si>
  <si>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</si>
  <si>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</si>
  <si>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</si>
  <si>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</si>
  <si>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</si>
  <si>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</si>
  <si>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</si>
  <si>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</si>
  <si>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</si>
  <si>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</si>
  <si>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</si>
  <si>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</si>
  <si>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</si>
  <si>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</si>
  <si>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</si>
  <si>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</si>
  <si>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</si>
  <si>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</si>
  <si>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</si>
  <si>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</si>
  <si>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</si>
  <si>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</si>
  <si>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</si>
  <si>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</si>
  <si>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</si>
  <si>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</si>
  <si>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</si>
  <si>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</si>
  <si>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</si>
  <si>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</si>
  <si>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</si>
  <si>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</si>
  <si>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</si>
  <si>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</si>
  <si>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</si>
  <si>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</si>
  <si>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</si>
  <si>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</si>
  <si>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</si>
  <si>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</si>
  <si>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</si>
  <si>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</si>
  <si>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</si>
  <si>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</si>
  <si>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</si>
  <si>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</si>
  <si>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</si>
  <si>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</si>
  <si>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</si>
  <si>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</si>
  <si>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</si>
  <si>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</si>
  <si>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</si>
  <si>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</si>
  <si>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</si>
  <si>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</si>
  <si>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</si>
  <si>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</si>
  <si>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</si>
  <si>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</si>
  <si>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</si>
  <si>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</si>
  <si>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</si>
  <si>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</si>
  <si>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</si>
  <si>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</si>
  <si>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</si>
  <si>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</si>
  <si>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</si>
  <si>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</si>
  <si>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</si>
  <si>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</si>
  <si>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</si>
  <si>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</si>
  <si>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</si>
  <si>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</si>
  <si>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</si>
  <si>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</si>
  <si>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</si>
  <si>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</si>
  <si>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</si>
  <si>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Row Labels</t>
  </si>
  <si>
    <t>Grand Total</t>
  </si>
  <si>
    <t>Sum of Revenue</t>
  </si>
  <si>
    <t>Sum of Quantity</t>
  </si>
  <si>
    <t>TOTAL REVENUE</t>
  </si>
  <si>
    <t>TOTAL QUANTITY</t>
  </si>
  <si>
    <t>TOTAL SALESPERSON</t>
  </si>
  <si>
    <t>Sales Revenue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</si>
</sst>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[Sales_Revenue_Analysis_Dashboard.xlsx]PRODUCT REVENUE!PivotTable1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REVENUE'!$A$4:$A$14</c:f>
              <c:strCache>
                <c:ptCount val="10"/>
                <c:pt idx="0">
                  <c:v>Desk Lamp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Office Chair</c:v>
                </c:pt>
                <c:pt idx="6">
                  <c:v>Printer</c:v>
                </c:pt>
                <c:pt idx="7">
                  <c:v>Tablet</c:v>
                </c:pt>
                <c:pt idx="8">
                  <c:v>Webcam</c:v>
                </c:pt>
                <c:pt idx="9">
                  <c:v>Wireless Mouse</c:v>
                </c:pt>
              </c:strCache>
            </c:strRef>
          </c:cat>
          <c:val>
            <c:numRef>
              <c:f>'PRODUCT REVENUE'!$B$4:$B$14</c:f>
              <c:numCache>
                <c:formatCode>General</c:formatCode>
                <c:ptCount val="10"/>
                <c:pt idx="0">
                  <c:v>50580</c:v>
                </c:pt>
                <c:pt idx="1">
                  <c:v>118625</c:v>
                </c:pt>
                <c:pt idx="2">
                  <c:v>99090</c:v>
                </c:pt>
                <c:pt idx="3">
                  <c:v>951500</c:v>
                </c:pt>
                <c:pt idx="4">
                  <c:v>751800</c:v>
                </c:pt>
                <c:pt idx="5">
                  <c:v>460800</c:v>
                </c:pt>
                <c:pt idx="6">
                  <c:v>1073750</c:v>
                </c:pt>
                <c:pt idx="7">
                  <c:v>941600</c:v>
                </c:pt>
                <c:pt idx="8">
                  <c:v>88375</c:v>
                </c:pt>
                <c:pt idx="9">
                  <c:v>55980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C-4FE4-BFAE-915522B612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418575423"/>
        <c:axId val="805980207"/>
      </c:barChart>
      <c:catAx>
        <c:axId val="41857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80207"/>
        <c:crosses val="autoZero"/>
        <c:auto val="1"/>
        <c:lblAlgn val="ctr"/>
        <c:lblOffset val="100"/>
        <c:noMultiLvlLbl val="0"/>
      </c:catAx>
      <c:valAx>
        <c:axId val="805980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7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[Sales_Revenue_Analysis_Dashboard.xlsx]PRODUCT QUANTITY!PivotTable2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</a:t>
            </a:r>
            <a:r>
              <a:rPr lang="en-IN" baseline="0"/>
              <a:t> by Product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QUANTITY'!$B$3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QUANTITY'!$A$4:$A$14</c:f>
              <c:strCache>
                <c:ptCount val="10"/>
                <c:pt idx="0">
                  <c:v>Desk Lamp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Office Chair</c:v>
                </c:pt>
                <c:pt idx="6">
                  <c:v>Printer</c:v>
                </c:pt>
                <c:pt idx="7">
                  <c:v>Tablet</c:v>
                </c:pt>
                <c:pt idx="8">
                  <c:v>Webcam</c:v>
                </c:pt>
                <c:pt idx="9">
                  <c:v>Wireless Mouse</c:v>
                </c:pt>
              </c:strCache>
            </c:strRef>
          </c:cat>
          <c:val>
            <c:numRef>
              <c:f>'PRODUCT QUANTITY'!$B$4:$B$14</c:f>
              <c:numCache>
                <c:formatCode>General</c:formatCode>
                <c:ptCount val="10"/>
                <c:pt idx="0">
                  <c:v>28</c:v>
                </c:pt>
                <c:pt idx="1">
                  <c:v>48</c:v>
                </c:pt>
                <c:pt idx="2">
                  <c:v>56</c:v>
                </c:pt>
                <c:pt idx="3">
                  <c:v>17</c:v>
                </c:pt>
                <c:pt idx="4">
                  <c:v>53</c:v>
                </c:pt>
                <c:pt idx="5">
                  <c:v>51</c:v>
                </c:pt>
                <c:pt idx="6">
                  <c:v>85</c:v>
                </c:pt>
                <c:pt idx="7">
                  <c:v>43</c:v>
                </c:pt>
                <c:pt idx="8">
                  <c:v>25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F-44B1-AD22-70ED7FF9D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573567"/>
        <c:axId val="805968687"/>
      </c:barChart>
      <c:catAx>
        <c:axId val="41857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68687"/>
        <c:crosses val="autoZero"/>
        <c:auto val="1"/>
        <c:lblAlgn val="ctr"/>
        <c:lblOffset val="100"/>
        <c:noMultiLvlLbl val="0"/>
      </c:catAx>
      <c:valAx>
        <c:axId val="8059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7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[Sales_Revenue_Analysis_Dashboard.xlsx]REGION REVENUE!PivotTable3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REVENUE'!$A$4:$A$8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REVENUE'!$B$4:$B$8</c:f>
              <c:numCache>
                <c:formatCode>General</c:formatCode>
                <c:ptCount val="4"/>
                <c:pt idx="0">
                  <c:v>921990</c:v>
                </c:pt>
                <c:pt idx="1">
                  <c:v>1642500</c:v>
                </c:pt>
                <c:pt idx="2">
                  <c:v>1113705</c:v>
                </c:pt>
                <c:pt idx="3">
                  <c:v>913905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2-4C00-BACD-894F7462B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544959"/>
        <c:axId val="805965327"/>
      </c:barChart>
      <c:catAx>
        <c:axId val="105054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65327"/>
        <c:crosses val="autoZero"/>
        <c:auto val="1"/>
        <c:lblAlgn val="ctr"/>
        <c:lblOffset val="100"/>
        <c:noMultiLvlLbl val="0"/>
      </c:catAx>
      <c:valAx>
        <c:axId val="80596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54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[Sales_Revenue_Analysis_Dashboard.xlsx]SALESPERSON REVENUE!PivotTable5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Salesperson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77777777777779E-2"/>
          <c:y val="0.24886373578302712"/>
          <c:w val="0.82248140857392826"/>
          <c:h val="0.51512795275590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'SALESPERSON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'SALESPERSON REVENUE'!$A$4:$A$9</c:f>
              <c:strCache>
                <c:ptCount val="5"/>
                <c:pt idx="0">
                  <c:v>Aarav</c:v>
                </c:pt>
                <c:pt idx="1">
                  <c:v>Ananya</c:v>
                </c:pt>
                <c:pt idx="2">
                  <c:v>Kabir</c:v>
                </c:pt>
                <c:pt idx="3">
                  <c:v>Priya</c:v>
                </c:pt>
                <c:pt idx="4">
                  <c:v>Rohan</c:v>
                </c:pt>
              </c:strCache>
            </c:strRef>
          </c:cat>
          <c:val>
            <c:numRef>
              <c:f>'SALESPERSON REVENUE'!$B$4:$B$9</c:f>
              <c:numCache>
                <c:formatCode>General</c:formatCode>
                <c:ptCount val="5"/>
                <c:pt idx="0">
                  <c:v>1506115</c:v>
                </c:pt>
                <c:pt idx="1">
                  <c:v>873675</c:v>
                </c:pt>
                <c:pt idx="2">
                  <c:v>627665</c:v>
                </c:pt>
                <c:pt idx="3">
                  <c:v>979825</c:v>
                </c:pt>
                <c:pt idx="4">
                  <c:v>604820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3-40E7-A64F-E914E31481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51350479"/>
        <c:axId val="1059803887"/>
      </c:barChart>
      <c:catAx>
        <c:axId val="105135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03887"/>
        <c:crosses val="autoZero"/>
        <c:auto val="1"/>
        <c:lblAlgn val="ctr"/>
        <c:lblOffset val="100"/>
        <c:noMultiLvlLbl val="0"/>
      </c:catAx>
      <c:valAx>
        <c:axId val="1059803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135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7620</xdr:rowOff>
    </xdr:from>
    <xdr:to>
      <xdr:col>7</xdr:col>
      <xdr:colOff>304800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A4C55-290C-4CA6-93E3-C5D8CC774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16</xdr:col>
      <xdr:colOff>304800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3E3A2-61AB-4A87-8BDF-BC9CFB777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7620</xdr:rowOff>
    </xdr:from>
    <xdr:to>
      <xdr:col>7</xdr:col>
      <xdr:colOff>304800</xdr:colOff>
      <xdr:row>42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A70A70-220B-49E9-A1BF-3131F5412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27</xdr:row>
      <xdr:rowOff>7620</xdr:rowOff>
    </xdr:from>
    <xdr:to>
      <xdr:col>16</xdr:col>
      <xdr:colOff>304800</xdr:colOff>
      <xdr:row>42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009C5-BA29-4CDC-A24F-E6EACD6F5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7.679018750001" createdVersion="8" refreshedVersion="8" minRefreshableVersion="3" recordCount="100" xr:uid="{F6FF604F-FFF3-4585-BE6D-846C721773B5}">
  <cacheSource type="worksheet">
    <worksheetSource ref="A1:I101" sheet="Sales Data"/>
  </cacheSource>
  <cacheFields count="11">
    <cacheField name="Date" numFmtId="164">
      <sharedItems containsSemiMixedTypes="0" containsNonDate="0" containsDate="1" containsString="0" minDate="2026-01-07T00:00:00" maxDate="2026-08-31T00:00:00" count="81">
        <d v="2026-01-07T00:00:00"/>
        <d v="2026-06-23T00:00:00"/>
        <d v="2026-02-25T00:00:00"/>
        <d v="2026-02-26T00:00:00"/>
        <d v="2026-03-29T00:00:00"/>
        <d v="2026-01-24T00:00:00"/>
        <d v="2026-03-09T00:00:00"/>
        <d v="2026-05-22T00:00:00"/>
        <d v="2026-06-19T00:00:00"/>
        <d v="2026-04-08T00:00:00"/>
        <d v="2026-04-01T00:00:00"/>
        <d v="2026-05-17T00:00:00"/>
        <d v="2026-08-25T00:00:00"/>
        <d v="2026-07-26T00:00:00"/>
        <d v="2026-08-22T00:00:00"/>
        <d v="2026-02-06T00:00:00"/>
        <d v="2026-05-11T00:00:00"/>
        <d v="2026-06-10T00:00:00"/>
        <d v="2026-06-02T00:00:00"/>
        <d v="2026-07-12T00:00:00"/>
        <d v="2026-02-10T00:00:00"/>
        <d v="2026-05-10T00:00:00"/>
        <d v="2026-07-15T00:00:00"/>
        <d v="2026-01-29T00:00:00"/>
        <d v="2026-08-13T00:00:00"/>
        <d v="2026-07-16T00:00:00"/>
        <d v="2026-06-21T00:00:00"/>
        <d v="2026-02-27T00:00:00"/>
        <d v="2026-02-28T00:00:00"/>
        <d v="2026-01-18T00:00:00"/>
        <d v="2026-03-13T00:00:00"/>
        <d v="2026-05-02T00:00:00"/>
        <d v="2026-01-25T00:00:00"/>
        <d v="2026-08-10T00:00:00"/>
        <d v="2026-07-24T00:00:00"/>
        <d v="2026-04-25T00:00:00"/>
        <d v="2026-03-05T00:00:00"/>
        <d v="2026-08-03T00:00:00"/>
        <d v="2026-05-05T00:00:00"/>
        <d v="2026-04-19T00:00:00"/>
        <d v="2026-01-15T00:00:00"/>
        <d v="2026-05-03T00:00:00"/>
        <d v="2026-05-14T00:00:00"/>
        <d v="2026-08-26T00:00:00"/>
        <d v="2026-01-26T00:00:00"/>
        <d v="2026-08-14T00:00:00"/>
        <d v="2026-04-23T00:00:00"/>
        <d v="2026-06-04T00:00:00"/>
        <d v="2026-05-06T00:00:00"/>
        <d v="2026-01-12T00:00:00"/>
        <d v="2026-07-09T00:00:00"/>
        <d v="2026-08-30T00:00:00"/>
        <d v="2026-02-07T00:00:00"/>
        <d v="2026-08-19T00:00:00"/>
        <d v="2026-07-25T00:00:00"/>
        <d v="2026-08-12T00:00:00"/>
        <d v="2026-03-31T00:00:00"/>
        <d v="2026-04-13T00:00:00"/>
        <d v="2026-06-14T00:00:00"/>
        <d v="2026-02-15T00:00:00"/>
        <d v="2026-03-30T00:00:00"/>
        <d v="2026-02-18T00:00:00"/>
        <d v="2026-06-09T00:00:00"/>
        <d v="2026-06-20T00:00:00"/>
        <d v="2026-02-02T00:00:00"/>
        <d v="2026-05-26T00:00:00"/>
        <d v="2026-02-23T00:00:00"/>
        <d v="2026-06-22T00:00:00"/>
        <d v="2026-05-12T00:00:00"/>
        <d v="2026-07-03T00:00:00"/>
        <d v="2026-06-17T00:00:00"/>
        <d v="2026-02-04T00:00:00"/>
        <d v="2026-04-20T00:00:00"/>
        <d v="2026-03-23T00:00:00"/>
        <d v="2026-06-27T00:00:00"/>
        <d v="2026-03-26T00:00:00"/>
        <d v="2026-04-10T00:00:00"/>
        <d v="2026-03-18T00:00:00"/>
        <d v="2026-03-11T00:00:00"/>
        <d v="2026-03-25T00:00:00"/>
        <d v="2026-07-11T00:00:00"/>
      </sharedItems>
      <fieldGroup par="10"/>
    </cacheField>
    <cacheField name="Order ID" numFmtId="0">
      <sharedItems/>
    </cacheField>
    <cacheField name="Product" numFmtId="0">
      <sharedItems count="10">
        <s v="Wireless Mouse"/>
        <s v="Printer"/>
        <s v="Desk Lamp"/>
        <s v="Laptop"/>
        <s v="Tablet"/>
        <s v="Keyboard"/>
        <s v="Headphones"/>
        <s v="Monitor"/>
        <s v="Webcam"/>
        <s v="Office Chair"/>
      </sharedItems>
    </cacheField>
    <cacheField name="Category" numFmtId="0">
      <sharedItems/>
    </cacheField>
    <cacheField name="Region" numFmtId="0">
      <sharedItems count="4">
        <s v="South"/>
        <s v="North"/>
        <s v="East"/>
        <s v="West"/>
      </sharedItems>
    </cacheField>
    <cacheField name="Salesperson" numFmtId="0">
      <sharedItems count="5">
        <s v="Priya"/>
        <s v="Aarav"/>
        <s v="Kabir"/>
        <s v="Rohan"/>
        <s v="Ananya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140" maxValue="57750"/>
    </cacheField>
    <cacheField name="Revenue" numFmtId="0">
      <sharedItems containsSemiMixedTypes="0" containsString="0" containsNumber="1" containsInteger="1" minValue="1710" maxValue="346500"/>
    </cacheField>
    <cacheField name="Days (Date)" numFmtId="0" databaseField="0">
      <fieldGroup base="0">
        <rangePr groupBy="days" startDate="2026-01-07T00:00:00" endDate="2026-08-31T00:00:00"/>
        <groupItems count="368">
          <s v="&lt;07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8-2026"/>
        </groupItems>
      </fieldGroup>
    </cacheField>
    <cacheField name="Months (Date)" numFmtId="0" databaseField="0">
      <fieldGroup base="0">
        <rangePr groupBy="months" startDate="2026-01-07T00:00:00" endDate="2026-08-31T00:00:00"/>
        <groupItems count="14">
          <s v="&lt;07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ORD-1001"/>
    <x v="0"/>
    <s v="Accessories"/>
    <x v="0"/>
    <x v="0"/>
    <n v="5"/>
    <n v="1200"/>
    <n v="6000"/>
  </r>
  <r>
    <x v="1"/>
    <s v="ORD-1002"/>
    <x v="0"/>
    <s v="Accessories"/>
    <x v="1"/>
    <x v="1"/>
    <n v="2"/>
    <n v="1260"/>
    <n v="2520"/>
  </r>
  <r>
    <x v="2"/>
    <s v="ORD-1003"/>
    <x v="0"/>
    <s v="Accessories"/>
    <x v="0"/>
    <x v="2"/>
    <n v="4"/>
    <n v="1140"/>
    <n v="4560"/>
  </r>
  <r>
    <x v="3"/>
    <s v="ORD-1004"/>
    <x v="1"/>
    <s v="Office Equipment"/>
    <x v="1"/>
    <x v="0"/>
    <n v="8"/>
    <n v="12500"/>
    <n v="100000"/>
  </r>
  <r>
    <x v="4"/>
    <s v="ORD-1005"/>
    <x v="1"/>
    <s v="Office Equipment"/>
    <x v="0"/>
    <x v="3"/>
    <n v="5"/>
    <n v="12500"/>
    <n v="62500"/>
  </r>
  <r>
    <x v="5"/>
    <s v="ORD-1006"/>
    <x v="0"/>
    <s v="Accessories"/>
    <x v="2"/>
    <x v="3"/>
    <n v="7"/>
    <n v="1140"/>
    <n v="7980"/>
  </r>
  <r>
    <x v="6"/>
    <s v="ORD-1007"/>
    <x v="2"/>
    <s v="Furniture"/>
    <x v="1"/>
    <x v="4"/>
    <n v="1"/>
    <n v="1890"/>
    <n v="1890"/>
  </r>
  <r>
    <x v="7"/>
    <s v="ORD-1008"/>
    <x v="0"/>
    <s v="Accessories"/>
    <x v="0"/>
    <x v="1"/>
    <n v="5"/>
    <n v="1200"/>
    <n v="6000"/>
  </r>
  <r>
    <x v="8"/>
    <s v="ORD-1009"/>
    <x v="3"/>
    <s v="Electronics"/>
    <x v="1"/>
    <x v="0"/>
    <n v="4"/>
    <n v="55000"/>
    <n v="220000"/>
  </r>
  <r>
    <x v="9"/>
    <s v="ORD-1010"/>
    <x v="0"/>
    <s v="Accessories"/>
    <x v="2"/>
    <x v="0"/>
    <n v="5"/>
    <n v="1260"/>
    <n v="6300"/>
  </r>
  <r>
    <x v="10"/>
    <s v="ORD-1011"/>
    <x v="4"/>
    <s v="Electronics"/>
    <x v="1"/>
    <x v="2"/>
    <n v="4"/>
    <n v="22000"/>
    <n v="88000"/>
  </r>
  <r>
    <x v="11"/>
    <s v="ORD-1012"/>
    <x v="5"/>
    <s v="Accessories"/>
    <x v="3"/>
    <x v="4"/>
    <n v="4"/>
    <n v="1800"/>
    <n v="7200"/>
  </r>
  <r>
    <x v="12"/>
    <s v="ORD-1013"/>
    <x v="6"/>
    <s v="Accessories"/>
    <x v="1"/>
    <x v="0"/>
    <n v="4"/>
    <n v="2500"/>
    <n v="10000"/>
  </r>
  <r>
    <x v="13"/>
    <s v="ORD-1014"/>
    <x v="3"/>
    <s v="Electronics"/>
    <x v="2"/>
    <x v="1"/>
    <n v="6"/>
    <n v="57750"/>
    <n v="346500"/>
  </r>
  <r>
    <x v="14"/>
    <s v="ORD-1015"/>
    <x v="7"/>
    <s v="Electronics"/>
    <x v="3"/>
    <x v="4"/>
    <n v="6"/>
    <n v="14000"/>
    <n v="84000"/>
  </r>
  <r>
    <x v="15"/>
    <s v="ORD-1016"/>
    <x v="8"/>
    <s v="Accessories"/>
    <x v="0"/>
    <x v="2"/>
    <n v="5"/>
    <n v="3500"/>
    <n v="17500"/>
  </r>
  <r>
    <x v="6"/>
    <s v="ORD-1017"/>
    <x v="9"/>
    <s v="Furniture"/>
    <x v="2"/>
    <x v="0"/>
    <n v="7"/>
    <n v="9450"/>
    <n v="66150"/>
  </r>
  <r>
    <x v="16"/>
    <s v="ORD-1018"/>
    <x v="5"/>
    <s v="Accessories"/>
    <x v="1"/>
    <x v="1"/>
    <n v="8"/>
    <n v="1710"/>
    <n v="13680"/>
  </r>
  <r>
    <x v="17"/>
    <s v="ORD-1019"/>
    <x v="5"/>
    <s v="Accessories"/>
    <x v="1"/>
    <x v="4"/>
    <n v="3"/>
    <n v="1890"/>
    <n v="5670"/>
  </r>
  <r>
    <x v="18"/>
    <s v="ORD-1020"/>
    <x v="1"/>
    <s v="Office Equipment"/>
    <x v="1"/>
    <x v="1"/>
    <n v="8"/>
    <n v="12500"/>
    <n v="100000"/>
  </r>
  <r>
    <x v="19"/>
    <s v="ORD-1021"/>
    <x v="9"/>
    <s v="Furniture"/>
    <x v="1"/>
    <x v="3"/>
    <n v="5"/>
    <n v="9000"/>
    <n v="45000"/>
  </r>
  <r>
    <x v="20"/>
    <s v="ORD-1022"/>
    <x v="1"/>
    <s v="Office Equipment"/>
    <x v="2"/>
    <x v="2"/>
    <n v="8"/>
    <n v="11875"/>
    <n v="95000"/>
  </r>
  <r>
    <x v="21"/>
    <s v="ORD-1023"/>
    <x v="5"/>
    <s v="Accessories"/>
    <x v="0"/>
    <x v="0"/>
    <n v="2"/>
    <n v="1800"/>
    <n v="3600"/>
  </r>
  <r>
    <x v="22"/>
    <s v="ORD-1024"/>
    <x v="4"/>
    <s v="Electronics"/>
    <x v="2"/>
    <x v="4"/>
    <n v="3"/>
    <n v="20900"/>
    <n v="62700"/>
  </r>
  <r>
    <x v="23"/>
    <s v="ORD-1025"/>
    <x v="3"/>
    <s v="Electronics"/>
    <x v="0"/>
    <x v="1"/>
    <n v="6"/>
    <n v="55000"/>
    <n v="330000"/>
  </r>
  <r>
    <x v="24"/>
    <s v="ORD-1026"/>
    <x v="7"/>
    <s v="Electronics"/>
    <x v="3"/>
    <x v="1"/>
    <n v="2"/>
    <n v="13300"/>
    <n v="26600"/>
  </r>
  <r>
    <x v="25"/>
    <s v="ORD-1027"/>
    <x v="9"/>
    <s v="Furniture"/>
    <x v="3"/>
    <x v="2"/>
    <n v="3"/>
    <n v="9000"/>
    <n v="27000"/>
  </r>
  <r>
    <x v="6"/>
    <s v="ORD-1028"/>
    <x v="5"/>
    <s v="Accessories"/>
    <x v="0"/>
    <x v="3"/>
    <n v="7"/>
    <n v="1800"/>
    <n v="12600"/>
  </r>
  <r>
    <x v="26"/>
    <s v="ORD-1029"/>
    <x v="1"/>
    <s v="Office Equipment"/>
    <x v="3"/>
    <x v="1"/>
    <n v="6"/>
    <n v="13125"/>
    <n v="78750"/>
  </r>
  <r>
    <x v="27"/>
    <s v="ORD-1030"/>
    <x v="7"/>
    <s v="Electronics"/>
    <x v="1"/>
    <x v="2"/>
    <n v="2"/>
    <n v="14000"/>
    <n v="28000"/>
  </r>
  <r>
    <x v="28"/>
    <s v="ORD-1031"/>
    <x v="9"/>
    <s v="Furniture"/>
    <x v="1"/>
    <x v="1"/>
    <n v="4"/>
    <n v="8550"/>
    <n v="34200"/>
  </r>
  <r>
    <x v="29"/>
    <s v="ORD-1032"/>
    <x v="7"/>
    <s v="Electronics"/>
    <x v="1"/>
    <x v="2"/>
    <n v="1"/>
    <n v="14000"/>
    <n v="14000"/>
  </r>
  <r>
    <x v="30"/>
    <s v="ORD-1033"/>
    <x v="7"/>
    <s v="Electronics"/>
    <x v="0"/>
    <x v="2"/>
    <n v="8"/>
    <n v="14000"/>
    <n v="112000"/>
  </r>
  <r>
    <x v="31"/>
    <s v="ORD-1034"/>
    <x v="2"/>
    <s v="Furniture"/>
    <x v="3"/>
    <x v="0"/>
    <n v="4"/>
    <n v="1890"/>
    <n v="7560"/>
  </r>
  <r>
    <x v="32"/>
    <s v="ORD-1035"/>
    <x v="0"/>
    <s v="Accessories"/>
    <x v="3"/>
    <x v="4"/>
    <n v="7"/>
    <n v="1200"/>
    <n v="8400"/>
  </r>
  <r>
    <x v="33"/>
    <s v="ORD-1036"/>
    <x v="8"/>
    <s v="Accessories"/>
    <x v="1"/>
    <x v="4"/>
    <n v="1"/>
    <n v="3325"/>
    <n v="3325"/>
  </r>
  <r>
    <x v="34"/>
    <s v="ORD-1037"/>
    <x v="4"/>
    <s v="Electronics"/>
    <x v="0"/>
    <x v="0"/>
    <n v="2"/>
    <n v="22000"/>
    <n v="44000"/>
  </r>
  <r>
    <x v="35"/>
    <s v="ORD-1038"/>
    <x v="9"/>
    <s v="Furniture"/>
    <x v="0"/>
    <x v="3"/>
    <n v="3"/>
    <n v="9450"/>
    <n v="28350"/>
  </r>
  <r>
    <x v="36"/>
    <s v="ORD-1039"/>
    <x v="8"/>
    <s v="Accessories"/>
    <x v="1"/>
    <x v="1"/>
    <n v="2"/>
    <n v="3675"/>
    <n v="7350"/>
  </r>
  <r>
    <x v="37"/>
    <s v="ORD-1040"/>
    <x v="9"/>
    <s v="Furniture"/>
    <x v="0"/>
    <x v="0"/>
    <n v="1"/>
    <n v="8550"/>
    <n v="8550"/>
  </r>
  <r>
    <x v="38"/>
    <s v="ORD-1041"/>
    <x v="1"/>
    <s v="Office Equipment"/>
    <x v="3"/>
    <x v="1"/>
    <n v="8"/>
    <n v="12500"/>
    <n v="100000"/>
  </r>
  <r>
    <x v="9"/>
    <s v="ORD-1042"/>
    <x v="5"/>
    <s v="Accessories"/>
    <x v="2"/>
    <x v="4"/>
    <n v="1"/>
    <n v="1890"/>
    <n v="1890"/>
  </r>
  <r>
    <x v="39"/>
    <s v="ORD-1043"/>
    <x v="6"/>
    <s v="Accessories"/>
    <x v="0"/>
    <x v="3"/>
    <n v="8"/>
    <n v="2500"/>
    <n v="20000"/>
  </r>
  <r>
    <x v="40"/>
    <s v="ORD-1044"/>
    <x v="7"/>
    <s v="Electronics"/>
    <x v="1"/>
    <x v="1"/>
    <n v="1"/>
    <n v="14000"/>
    <n v="14000"/>
  </r>
  <r>
    <x v="41"/>
    <s v="ORD-1045"/>
    <x v="2"/>
    <s v="Furniture"/>
    <x v="1"/>
    <x v="0"/>
    <n v="3"/>
    <n v="1710"/>
    <n v="5130"/>
  </r>
  <r>
    <x v="18"/>
    <s v="ORD-1046"/>
    <x v="0"/>
    <s v="Accessories"/>
    <x v="3"/>
    <x v="1"/>
    <n v="2"/>
    <n v="1200"/>
    <n v="2400"/>
  </r>
  <r>
    <x v="36"/>
    <s v="ORD-1047"/>
    <x v="2"/>
    <s v="Furniture"/>
    <x v="3"/>
    <x v="2"/>
    <n v="1"/>
    <n v="1710"/>
    <n v="1710"/>
  </r>
  <r>
    <x v="42"/>
    <s v="ORD-1048"/>
    <x v="2"/>
    <s v="Furniture"/>
    <x v="0"/>
    <x v="3"/>
    <n v="6"/>
    <n v="1800"/>
    <n v="10800"/>
  </r>
  <r>
    <x v="6"/>
    <s v="ORD-1049"/>
    <x v="7"/>
    <s v="Electronics"/>
    <x v="2"/>
    <x v="4"/>
    <n v="7"/>
    <n v="14000"/>
    <n v="98000"/>
  </r>
  <r>
    <x v="43"/>
    <s v="ORD-1050"/>
    <x v="4"/>
    <s v="Electronics"/>
    <x v="3"/>
    <x v="2"/>
    <n v="2"/>
    <n v="20900"/>
    <n v="41800"/>
  </r>
  <r>
    <x v="44"/>
    <s v="ORD-1051"/>
    <x v="2"/>
    <s v="Furniture"/>
    <x v="2"/>
    <x v="0"/>
    <n v="2"/>
    <n v="1800"/>
    <n v="3600"/>
  </r>
  <r>
    <x v="45"/>
    <s v="ORD-1052"/>
    <x v="4"/>
    <s v="Electronics"/>
    <x v="2"/>
    <x v="3"/>
    <n v="2"/>
    <n v="22000"/>
    <n v="44000"/>
  </r>
  <r>
    <x v="46"/>
    <s v="ORD-1053"/>
    <x v="5"/>
    <s v="Accessories"/>
    <x v="2"/>
    <x v="1"/>
    <n v="5"/>
    <n v="1710"/>
    <n v="8550"/>
  </r>
  <r>
    <x v="6"/>
    <s v="ORD-1054"/>
    <x v="5"/>
    <s v="Accessories"/>
    <x v="0"/>
    <x v="3"/>
    <n v="2"/>
    <n v="1710"/>
    <n v="3420"/>
  </r>
  <r>
    <x v="47"/>
    <s v="ORD-1055"/>
    <x v="6"/>
    <s v="Accessories"/>
    <x v="0"/>
    <x v="3"/>
    <n v="4"/>
    <n v="2500"/>
    <n v="10000"/>
  </r>
  <r>
    <x v="48"/>
    <s v="ORD-1056"/>
    <x v="9"/>
    <s v="Furniture"/>
    <x v="1"/>
    <x v="4"/>
    <n v="5"/>
    <n v="8550"/>
    <n v="42750"/>
  </r>
  <r>
    <x v="49"/>
    <s v="ORD-1057"/>
    <x v="6"/>
    <s v="Accessories"/>
    <x v="0"/>
    <x v="3"/>
    <n v="1"/>
    <n v="2500"/>
    <n v="2500"/>
  </r>
  <r>
    <x v="50"/>
    <s v="ORD-1058"/>
    <x v="5"/>
    <s v="Accessories"/>
    <x v="1"/>
    <x v="1"/>
    <n v="8"/>
    <n v="1890"/>
    <n v="15120"/>
  </r>
  <r>
    <x v="51"/>
    <s v="ORD-1059"/>
    <x v="0"/>
    <s v="Accessories"/>
    <x v="2"/>
    <x v="2"/>
    <n v="3"/>
    <n v="1140"/>
    <n v="3420"/>
  </r>
  <r>
    <x v="52"/>
    <s v="ORD-1060"/>
    <x v="9"/>
    <s v="Furniture"/>
    <x v="1"/>
    <x v="3"/>
    <n v="7"/>
    <n v="9000"/>
    <n v="63000"/>
  </r>
  <r>
    <x v="53"/>
    <s v="ORD-1061"/>
    <x v="4"/>
    <s v="Electronics"/>
    <x v="0"/>
    <x v="0"/>
    <n v="1"/>
    <n v="22000"/>
    <n v="22000"/>
  </r>
  <r>
    <x v="10"/>
    <s v="ORD-1062"/>
    <x v="0"/>
    <s v="Accessories"/>
    <x v="0"/>
    <x v="0"/>
    <n v="7"/>
    <n v="1200"/>
    <n v="8400"/>
  </r>
  <r>
    <x v="45"/>
    <s v="ORD-1063"/>
    <x v="5"/>
    <s v="Accessories"/>
    <x v="0"/>
    <x v="3"/>
    <n v="7"/>
    <n v="1710"/>
    <n v="11970"/>
  </r>
  <r>
    <x v="54"/>
    <s v="ORD-1064"/>
    <x v="1"/>
    <s v="Office Equipment"/>
    <x v="0"/>
    <x v="1"/>
    <n v="4"/>
    <n v="12500"/>
    <n v="50000"/>
  </r>
  <r>
    <x v="55"/>
    <s v="ORD-1065"/>
    <x v="1"/>
    <s v="Office Equipment"/>
    <x v="0"/>
    <x v="0"/>
    <n v="1"/>
    <n v="13125"/>
    <n v="13125"/>
  </r>
  <r>
    <x v="56"/>
    <s v="ORD-1066"/>
    <x v="8"/>
    <s v="Accessories"/>
    <x v="0"/>
    <x v="1"/>
    <n v="5"/>
    <n v="3500"/>
    <n v="17500"/>
  </r>
  <r>
    <x v="57"/>
    <s v="ORD-1067"/>
    <x v="7"/>
    <s v="Electronics"/>
    <x v="1"/>
    <x v="3"/>
    <n v="6"/>
    <n v="14000"/>
    <n v="84000"/>
  </r>
  <r>
    <x v="58"/>
    <s v="ORD-1068"/>
    <x v="4"/>
    <s v="Electronics"/>
    <x v="1"/>
    <x v="1"/>
    <n v="7"/>
    <n v="22000"/>
    <n v="154000"/>
  </r>
  <r>
    <x v="59"/>
    <s v="ORD-1069"/>
    <x v="6"/>
    <s v="Accessories"/>
    <x v="1"/>
    <x v="2"/>
    <n v="5"/>
    <n v="2375"/>
    <n v="11875"/>
  </r>
  <r>
    <x v="60"/>
    <s v="ORD-1070"/>
    <x v="1"/>
    <s v="Office Equipment"/>
    <x v="1"/>
    <x v="4"/>
    <n v="6"/>
    <n v="13125"/>
    <n v="78750"/>
  </r>
  <r>
    <x v="61"/>
    <s v="ORD-1071"/>
    <x v="2"/>
    <s v="Furniture"/>
    <x v="3"/>
    <x v="1"/>
    <n v="5"/>
    <n v="1710"/>
    <n v="8550"/>
  </r>
  <r>
    <x v="12"/>
    <s v="ORD-1072"/>
    <x v="9"/>
    <s v="Furniture"/>
    <x v="3"/>
    <x v="1"/>
    <n v="4"/>
    <n v="9000"/>
    <n v="36000"/>
  </r>
  <r>
    <x v="62"/>
    <s v="ORD-1073"/>
    <x v="4"/>
    <s v="Electronics"/>
    <x v="2"/>
    <x v="2"/>
    <n v="6"/>
    <n v="20900"/>
    <n v="125400"/>
  </r>
  <r>
    <x v="63"/>
    <s v="ORD-1074"/>
    <x v="6"/>
    <s v="Accessories"/>
    <x v="3"/>
    <x v="3"/>
    <n v="7"/>
    <n v="2500"/>
    <n v="17500"/>
  </r>
  <r>
    <x v="64"/>
    <s v="ORD-1075"/>
    <x v="9"/>
    <s v="Furniture"/>
    <x v="3"/>
    <x v="0"/>
    <n v="4"/>
    <n v="9450"/>
    <n v="37800"/>
  </r>
  <r>
    <x v="65"/>
    <s v="ORD-1076"/>
    <x v="2"/>
    <s v="Furniture"/>
    <x v="1"/>
    <x v="3"/>
    <n v="5"/>
    <n v="1890"/>
    <n v="9450"/>
  </r>
  <r>
    <x v="66"/>
    <s v="ORD-1077"/>
    <x v="6"/>
    <s v="Accessories"/>
    <x v="3"/>
    <x v="4"/>
    <n v="7"/>
    <n v="2500"/>
    <n v="17500"/>
  </r>
  <r>
    <x v="67"/>
    <s v="ORD-1078"/>
    <x v="8"/>
    <s v="Accessories"/>
    <x v="0"/>
    <x v="1"/>
    <n v="4"/>
    <n v="3675"/>
    <n v="14700"/>
  </r>
  <r>
    <x v="68"/>
    <s v="ORD-1079"/>
    <x v="6"/>
    <s v="Accessories"/>
    <x v="0"/>
    <x v="3"/>
    <n v="6"/>
    <n v="2375"/>
    <n v="14250"/>
  </r>
  <r>
    <x v="13"/>
    <s v="ORD-1080"/>
    <x v="7"/>
    <s v="Electronics"/>
    <x v="1"/>
    <x v="1"/>
    <n v="4"/>
    <n v="14000"/>
    <n v="56000"/>
  </r>
  <r>
    <x v="31"/>
    <s v="ORD-1081"/>
    <x v="7"/>
    <s v="Electronics"/>
    <x v="3"/>
    <x v="2"/>
    <n v="2"/>
    <n v="14700"/>
    <n v="29400"/>
  </r>
  <r>
    <x v="69"/>
    <s v="ORD-1082"/>
    <x v="7"/>
    <s v="Electronics"/>
    <x v="3"/>
    <x v="0"/>
    <n v="7"/>
    <n v="14700"/>
    <n v="102900"/>
  </r>
  <r>
    <x v="70"/>
    <s v="ORD-1083"/>
    <x v="5"/>
    <s v="Accessories"/>
    <x v="3"/>
    <x v="0"/>
    <n v="1"/>
    <n v="1710"/>
    <n v="1710"/>
  </r>
  <r>
    <x v="54"/>
    <s v="ORD-1084"/>
    <x v="5"/>
    <s v="Accessories"/>
    <x v="0"/>
    <x v="1"/>
    <n v="8"/>
    <n v="1710"/>
    <n v="13680"/>
  </r>
  <r>
    <x v="71"/>
    <s v="ORD-1085"/>
    <x v="8"/>
    <s v="Accessories"/>
    <x v="3"/>
    <x v="2"/>
    <n v="8"/>
    <n v="3500"/>
    <n v="28000"/>
  </r>
  <r>
    <x v="72"/>
    <s v="ORD-1086"/>
    <x v="9"/>
    <s v="Furniture"/>
    <x v="3"/>
    <x v="4"/>
    <n v="8"/>
    <n v="9000"/>
    <n v="72000"/>
  </r>
  <r>
    <x v="19"/>
    <s v="ORD-1087"/>
    <x v="6"/>
    <s v="Accessories"/>
    <x v="3"/>
    <x v="0"/>
    <n v="4"/>
    <n v="2500"/>
    <n v="10000"/>
  </r>
  <r>
    <x v="46"/>
    <s v="ORD-1088"/>
    <x v="6"/>
    <s v="Accessories"/>
    <x v="0"/>
    <x v="3"/>
    <n v="2"/>
    <n v="2500"/>
    <n v="5000"/>
  </r>
  <r>
    <x v="73"/>
    <s v="ORD-1089"/>
    <x v="4"/>
    <s v="Electronics"/>
    <x v="0"/>
    <x v="0"/>
    <n v="2"/>
    <n v="22000"/>
    <n v="44000"/>
  </r>
  <r>
    <x v="74"/>
    <s v="ORD-1090"/>
    <x v="1"/>
    <s v="Office Equipment"/>
    <x v="1"/>
    <x v="4"/>
    <n v="3"/>
    <n v="12500"/>
    <n v="37500"/>
  </r>
  <r>
    <x v="75"/>
    <s v="ORD-1091"/>
    <x v="1"/>
    <s v="Office Equipment"/>
    <x v="1"/>
    <x v="0"/>
    <n v="8"/>
    <n v="13125"/>
    <n v="105000"/>
  </r>
  <r>
    <x v="76"/>
    <s v="ORD-1092"/>
    <x v="1"/>
    <s v="Office Equipment"/>
    <x v="3"/>
    <x v="1"/>
    <n v="1"/>
    <n v="13125"/>
    <n v="13125"/>
  </r>
  <r>
    <x v="77"/>
    <s v="ORD-1093"/>
    <x v="4"/>
    <s v="Electronics"/>
    <x v="0"/>
    <x v="4"/>
    <n v="7"/>
    <n v="23100"/>
    <n v="161700"/>
  </r>
  <r>
    <x v="78"/>
    <s v="ORD-1094"/>
    <x v="7"/>
    <s v="Electronics"/>
    <x v="1"/>
    <x v="4"/>
    <n v="7"/>
    <n v="14700"/>
    <n v="102900"/>
  </r>
  <r>
    <x v="26"/>
    <s v="ORD-1095"/>
    <x v="4"/>
    <s v="Electronics"/>
    <x v="3"/>
    <x v="0"/>
    <n v="7"/>
    <n v="22000"/>
    <n v="154000"/>
  </r>
  <r>
    <x v="11"/>
    <s v="ORD-1096"/>
    <x v="2"/>
    <s v="Furniture"/>
    <x v="1"/>
    <x v="1"/>
    <n v="1"/>
    <n v="1890"/>
    <n v="1890"/>
  </r>
  <r>
    <x v="71"/>
    <s v="ORD-1097"/>
    <x v="1"/>
    <s v="Office Equipment"/>
    <x v="1"/>
    <x v="3"/>
    <n v="8"/>
    <n v="12500"/>
    <n v="100000"/>
  </r>
  <r>
    <x v="79"/>
    <s v="ORD-1098"/>
    <x v="1"/>
    <s v="Office Equipment"/>
    <x v="2"/>
    <x v="3"/>
    <n v="4"/>
    <n v="13125"/>
    <n v="52500"/>
  </r>
  <r>
    <x v="30"/>
    <s v="ORD-1099"/>
    <x v="1"/>
    <s v="Office Equipment"/>
    <x v="1"/>
    <x v="4"/>
    <n v="7"/>
    <n v="12500"/>
    <n v="87500"/>
  </r>
  <r>
    <x v="80"/>
    <s v="ORD-1100"/>
    <x v="3"/>
    <s v="Electronics"/>
    <x v="0"/>
    <x v="1"/>
    <n v="1"/>
    <n v="55000"/>
    <n v="5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4EA9A-0C89-4C78-AF9F-DCA6030A3D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11">
    <pivotField numFmtId="164" showAll="0">
      <items count="82">
        <item x="0"/>
        <item x="49"/>
        <item x="40"/>
        <item x="29"/>
        <item x="5"/>
        <item x="32"/>
        <item x="44"/>
        <item x="23"/>
        <item x="64"/>
        <item x="71"/>
        <item x="15"/>
        <item x="52"/>
        <item x="20"/>
        <item x="59"/>
        <item x="61"/>
        <item x="66"/>
        <item x="2"/>
        <item x="3"/>
        <item x="27"/>
        <item x="28"/>
        <item x="36"/>
        <item x="6"/>
        <item x="78"/>
        <item x="30"/>
        <item x="77"/>
        <item x="73"/>
        <item x="79"/>
        <item x="75"/>
        <item x="4"/>
        <item x="60"/>
        <item x="56"/>
        <item x="10"/>
        <item x="9"/>
        <item x="76"/>
        <item x="57"/>
        <item x="39"/>
        <item x="72"/>
        <item x="46"/>
        <item x="35"/>
        <item x="31"/>
        <item x="41"/>
        <item x="38"/>
        <item x="48"/>
        <item x="21"/>
        <item x="16"/>
        <item x="68"/>
        <item x="42"/>
        <item x="11"/>
        <item x="7"/>
        <item x="65"/>
        <item x="18"/>
        <item x="47"/>
        <item x="62"/>
        <item x="17"/>
        <item x="58"/>
        <item x="70"/>
        <item x="8"/>
        <item x="63"/>
        <item x="26"/>
        <item x="67"/>
        <item x="1"/>
        <item x="74"/>
        <item x="69"/>
        <item x="50"/>
        <item x="80"/>
        <item x="19"/>
        <item x="22"/>
        <item x="25"/>
        <item x="34"/>
        <item x="54"/>
        <item x="13"/>
        <item x="37"/>
        <item x="33"/>
        <item x="55"/>
        <item x="24"/>
        <item x="45"/>
        <item x="53"/>
        <item x="14"/>
        <item x="12"/>
        <item x="43"/>
        <item x="51"/>
        <item t="default"/>
      </items>
    </pivotField>
    <pivotField showAll="0"/>
    <pivotField axis="axisRow" showAll="0">
      <items count="11">
        <item x="2"/>
        <item x="6"/>
        <item x="5"/>
        <item x="3"/>
        <item x="7"/>
        <item x="9"/>
        <item x="1"/>
        <item x="4"/>
        <item x="8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8" baseField="0" baseItem="0"/>
  </dataFields>
  <chartFormats count="1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5318C-F40D-49AA-9857-27E207F11F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1">
    <pivotField numFmtId="164" showAll="0">
      <items count="82">
        <item x="0"/>
        <item x="49"/>
        <item x="40"/>
        <item x="29"/>
        <item x="5"/>
        <item x="32"/>
        <item x="44"/>
        <item x="23"/>
        <item x="64"/>
        <item x="71"/>
        <item x="15"/>
        <item x="52"/>
        <item x="20"/>
        <item x="59"/>
        <item x="61"/>
        <item x="66"/>
        <item x="2"/>
        <item x="3"/>
        <item x="27"/>
        <item x="28"/>
        <item x="36"/>
        <item x="6"/>
        <item x="78"/>
        <item x="30"/>
        <item x="77"/>
        <item x="73"/>
        <item x="79"/>
        <item x="75"/>
        <item x="4"/>
        <item x="60"/>
        <item x="56"/>
        <item x="10"/>
        <item x="9"/>
        <item x="76"/>
        <item x="57"/>
        <item x="39"/>
        <item x="72"/>
        <item x="46"/>
        <item x="35"/>
        <item x="31"/>
        <item x="41"/>
        <item x="38"/>
        <item x="48"/>
        <item x="21"/>
        <item x="16"/>
        <item x="68"/>
        <item x="42"/>
        <item x="11"/>
        <item x="7"/>
        <item x="65"/>
        <item x="18"/>
        <item x="47"/>
        <item x="62"/>
        <item x="17"/>
        <item x="58"/>
        <item x="70"/>
        <item x="8"/>
        <item x="63"/>
        <item x="26"/>
        <item x="67"/>
        <item x="1"/>
        <item x="74"/>
        <item x="69"/>
        <item x="50"/>
        <item x="80"/>
        <item x="19"/>
        <item x="22"/>
        <item x="25"/>
        <item x="34"/>
        <item x="54"/>
        <item x="13"/>
        <item x="37"/>
        <item x="33"/>
        <item x="55"/>
        <item x="24"/>
        <item x="45"/>
        <item x="53"/>
        <item x="14"/>
        <item x="12"/>
        <item x="43"/>
        <item x="51"/>
        <item t="default"/>
      </items>
    </pivotField>
    <pivotField showAll="0"/>
    <pivotField axis="axisRow" showAll="0">
      <items count="11">
        <item x="2"/>
        <item x="6"/>
        <item x="5"/>
        <item x="3"/>
        <item x="7"/>
        <item x="9"/>
        <item x="1"/>
        <item x="4"/>
        <item x="8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7C17C-3A73-47FE-BA58-4E118F09238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1">
    <pivotField numFmtId="164" showAll="0">
      <items count="82">
        <item x="0"/>
        <item x="49"/>
        <item x="40"/>
        <item x="29"/>
        <item x="5"/>
        <item x="32"/>
        <item x="44"/>
        <item x="23"/>
        <item x="64"/>
        <item x="71"/>
        <item x="15"/>
        <item x="52"/>
        <item x="20"/>
        <item x="59"/>
        <item x="61"/>
        <item x="66"/>
        <item x="2"/>
        <item x="3"/>
        <item x="27"/>
        <item x="28"/>
        <item x="36"/>
        <item x="6"/>
        <item x="78"/>
        <item x="30"/>
        <item x="77"/>
        <item x="73"/>
        <item x="79"/>
        <item x="75"/>
        <item x="4"/>
        <item x="60"/>
        <item x="56"/>
        <item x="10"/>
        <item x="9"/>
        <item x="76"/>
        <item x="57"/>
        <item x="39"/>
        <item x="72"/>
        <item x="46"/>
        <item x="35"/>
        <item x="31"/>
        <item x="41"/>
        <item x="38"/>
        <item x="48"/>
        <item x="21"/>
        <item x="16"/>
        <item x="68"/>
        <item x="42"/>
        <item x="11"/>
        <item x="7"/>
        <item x="65"/>
        <item x="18"/>
        <item x="47"/>
        <item x="62"/>
        <item x="17"/>
        <item x="58"/>
        <item x="70"/>
        <item x="8"/>
        <item x="63"/>
        <item x="26"/>
        <item x="67"/>
        <item x="1"/>
        <item x="74"/>
        <item x="69"/>
        <item x="50"/>
        <item x="80"/>
        <item x="19"/>
        <item x="22"/>
        <item x="25"/>
        <item x="34"/>
        <item x="54"/>
        <item x="13"/>
        <item x="37"/>
        <item x="33"/>
        <item x="55"/>
        <item x="24"/>
        <item x="45"/>
        <item x="53"/>
        <item x="14"/>
        <item x="12"/>
        <item x="43"/>
        <item x="51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D4E24-5306-432F-B8A1-EEB33E77D93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1">
    <pivotField numFmtId="164" showAll="0">
      <items count="82">
        <item x="0"/>
        <item x="49"/>
        <item x="40"/>
        <item x="29"/>
        <item x="5"/>
        <item x="32"/>
        <item x="44"/>
        <item x="23"/>
        <item x="64"/>
        <item x="71"/>
        <item x="15"/>
        <item x="52"/>
        <item x="20"/>
        <item x="59"/>
        <item x="61"/>
        <item x="66"/>
        <item x="2"/>
        <item x="3"/>
        <item x="27"/>
        <item x="28"/>
        <item x="36"/>
        <item x="6"/>
        <item x="78"/>
        <item x="30"/>
        <item x="77"/>
        <item x="73"/>
        <item x="79"/>
        <item x="75"/>
        <item x="4"/>
        <item x="60"/>
        <item x="56"/>
        <item x="10"/>
        <item x="9"/>
        <item x="76"/>
        <item x="57"/>
        <item x="39"/>
        <item x="72"/>
        <item x="46"/>
        <item x="35"/>
        <item x="31"/>
        <item x="41"/>
        <item x="38"/>
        <item x="48"/>
        <item x="21"/>
        <item x="16"/>
        <item x="68"/>
        <item x="42"/>
        <item x="11"/>
        <item x="7"/>
        <item x="65"/>
        <item x="18"/>
        <item x="47"/>
        <item x="62"/>
        <item x="17"/>
        <item x="58"/>
        <item x="70"/>
        <item x="8"/>
        <item x="63"/>
        <item x="26"/>
        <item x="67"/>
        <item x="1"/>
        <item x="74"/>
        <item x="69"/>
        <item x="50"/>
        <item x="80"/>
        <item x="19"/>
        <item x="22"/>
        <item x="25"/>
        <item x="34"/>
        <item x="54"/>
        <item x="13"/>
        <item x="37"/>
        <item x="33"/>
        <item x="55"/>
        <item x="24"/>
        <item x="45"/>
        <item x="53"/>
        <item x="14"/>
        <item x="12"/>
        <item x="43"/>
        <item x="51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16C4-F14F-46CB-9BE6-E2807EE84689}">
  <dimension ref="A3:B14"/>
  <sheetViews>
    <sheetView workbookViewId="0">
      <selection activeCell="B5" sqref="B5"/>
    </sheetView>
  </sheetViews>
  <sheetFormatPr defaultRowHeight="14.4" x14ac:dyDescent="0.3"/>
  <cols>
    <col min="1" max="1" width="14" bestFit="1" customWidth="1"/>
    <col min="2" max="2" width="14.88671875" bestFit="1" customWidth="1"/>
  </cols>
  <sheetData>
    <row r="3" spans="1:2" x14ac:dyDescent="0.3">
      <c r="A3" s="3" t="s">
        <v>132</v>
      </c>
      <c r="B3" t="s">
        <v>134</v>
      </c>
    </row>
    <row r="4" spans="1:2" x14ac:dyDescent="0.3">
      <c r="A4" s="4" t="s">
        <v>27</v>
      </c>
      <c r="B4">
        <v>50580</v>
      </c>
    </row>
    <row r="5" spans="1:2" x14ac:dyDescent="0.3">
      <c r="A5" s="4" t="s">
        <v>41</v>
      </c>
      <c r="B5">
        <v>118625</v>
      </c>
    </row>
    <row r="6" spans="1:2" x14ac:dyDescent="0.3">
      <c r="A6" s="4" t="s">
        <v>38</v>
      </c>
      <c r="B6">
        <v>99090</v>
      </c>
    </row>
    <row r="7" spans="1:2" x14ac:dyDescent="0.3">
      <c r="A7" s="4" t="s">
        <v>32</v>
      </c>
      <c r="B7">
        <v>951500</v>
      </c>
    </row>
    <row r="8" spans="1:2" x14ac:dyDescent="0.3">
      <c r="A8" s="4" t="s">
        <v>44</v>
      </c>
      <c r="B8">
        <v>751800</v>
      </c>
    </row>
    <row r="9" spans="1:2" x14ac:dyDescent="0.3">
      <c r="A9" s="4" t="s">
        <v>48</v>
      </c>
      <c r="B9">
        <v>460800</v>
      </c>
    </row>
    <row r="10" spans="1:2" x14ac:dyDescent="0.3">
      <c r="A10" s="4" t="s">
        <v>20</v>
      </c>
      <c r="B10">
        <v>1073750</v>
      </c>
    </row>
    <row r="11" spans="1:2" x14ac:dyDescent="0.3">
      <c r="A11" s="4" t="s">
        <v>36</v>
      </c>
      <c r="B11">
        <v>941600</v>
      </c>
    </row>
    <row r="12" spans="1:2" x14ac:dyDescent="0.3">
      <c r="A12" s="4" t="s">
        <v>46</v>
      </c>
      <c r="B12">
        <v>88375</v>
      </c>
    </row>
    <row r="13" spans="1:2" x14ac:dyDescent="0.3">
      <c r="A13" s="4" t="s">
        <v>10</v>
      </c>
      <c r="B13">
        <v>55980</v>
      </c>
    </row>
    <row r="14" spans="1:2" x14ac:dyDescent="0.3">
      <c r="A14" s="4" t="s">
        <v>133</v>
      </c>
      <c r="B14">
        <v>4592100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1C9E-EDDF-49F5-A4DD-D495FDC22ACD}">
  <dimension ref="A3:B14"/>
  <sheetViews>
    <sheetView workbookViewId="0">
      <selection activeCell="B14" sqref="B14"/>
    </sheetView>
  </sheetViews>
  <sheetFormatPr defaultRowHeight="14.4" x14ac:dyDescent="0.3"/>
  <cols>
    <col min="1" max="1" width="14" bestFit="1" customWidth="1"/>
    <col min="2" max="2" width="14.88671875" bestFit="1" customWidth="1"/>
  </cols>
  <sheetData>
    <row r="3" spans="1:2" x14ac:dyDescent="0.3">
      <c r="A3" s="3" t="s">
        <v>132</v>
      </c>
      <c r="B3" t="s">
        <v>135</v>
      </c>
    </row>
    <row r="4" spans="1:2" x14ac:dyDescent="0.3">
      <c r="A4" s="4" t="s">
        <v>27</v>
      </c>
      <c r="B4">
        <v>28</v>
      </c>
    </row>
    <row r="5" spans="1:2" x14ac:dyDescent="0.3">
      <c r="A5" s="4" t="s">
        <v>41</v>
      </c>
      <c r="B5">
        <v>48</v>
      </c>
    </row>
    <row r="6" spans="1:2" x14ac:dyDescent="0.3">
      <c r="A6" s="4" t="s">
        <v>38</v>
      </c>
      <c r="B6">
        <v>56</v>
      </c>
    </row>
    <row r="7" spans="1:2" x14ac:dyDescent="0.3">
      <c r="A7" s="4" t="s">
        <v>32</v>
      </c>
      <c r="B7">
        <v>17</v>
      </c>
    </row>
    <row r="8" spans="1:2" x14ac:dyDescent="0.3">
      <c r="A8" s="4" t="s">
        <v>44</v>
      </c>
      <c r="B8">
        <v>53</v>
      </c>
    </row>
    <row r="9" spans="1:2" x14ac:dyDescent="0.3">
      <c r="A9" s="4" t="s">
        <v>48</v>
      </c>
      <c r="B9">
        <v>51</v>
      </c>
    </row>
    <row r="10" spans="1:2" x14ac:dyDescent="0.3">
      <c r="A10" s="4" t="s">
        <v>20</v>
      </c>
      <c r="B10">
        <v>85</v>
      </c>
    </row>
    <row r="11" spans="1:2" x14ac:dyDescent="0.3">
      <c r="A11" s="4" t="s">
        <v>36</v>
      </c>
      <c r="B11">
        <v>43</v>
      </c>
    </row>
    <row r="12" spans="1:2" x14ac:dyDescent="0.3">
      <c r="A12" s="4" t="s">
        <v>46</v>
      </c>
      <c r="B12">
        <v>25</v>
      </c>
    </row>
    <row r="13" spans="1:2" x14ac:dyDescent="0.3">
      <c r="A13" s="4" t="s">
        <v>10</v>
      </c>
      <c r="B13">
        <v>47</v>
      </c>
    </row>
    <row r="14" spans="1:2" x14ac:dyDescent="0.3">
      <c r="A14" s="4" t="s">
        <v>133</v>
      </c>
      <c r="B14">
        <v>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F44D-748D-4412-AE0B-31894D65E0FB}">
  <dimension ref="A3:B8"/>
  <sheetViews>
    <sheetView workbookViewId="0">
      <selection activeCell="J5" sqref="J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132</v>
      </c>
      <c r="B3" t="s">
        <v>134</v>
      </c>
    </row>
    <row r="4" spans="1:2" x14ac:dyDescent="0.3">
      <c r="A4" s="4" t="s">
        <v>25</v>
      </c>
      <c r="B4">
        <v>921990</v>
      </c>
    </row>
    <row r="5" spans="1:2" x14ac:dyDescent="0.3">
      <c r="A5" s="4" t="s">
        <v>15</v>
      </c>
      <c r="B5">
        <v>1642500</v>
      </c>
    </row>
    <row r="6" spans="1:2" x14ac:dyDescent="0.3">
      <c r="A6" s="4" t="s">
        <v>12</v>
      </c>
      <c r="B6">
        <v>1113705</v>
      </c>
    </row>
    <row r="7" spans="1:2" x14ac:dyDescent="0.3">
      <c r="A7" s="4" t="s">
        <v>39</v>
      </c>
      <c r="B7">
        <v>913905</v>
      </c>
    </row>
    <row r="8" spans="1:2" x14ac:dyDescent="0.3">
      <c r="A8" s="4" t="s">
        <v>133</v>
      </c>
      <c r="B8">
        <v>4592100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A874-1805-40B8-9382-D3903B8FA95C}">
  <dimension ref="A3:B9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132</v>
      </c>
      <c r="B3" t="s">
        <v>134</v>
      </c>
    </row>
    <row r="4" spans="1:2" x14ac:dyDescent="0.3">
      <c r="A4" s="4" t="s">
        <v>16</v>
      </c>
      <c r="B4">
        <v>1506115</v>
      </c>
    </row>
    <row r="5" spans="1:2" x14ac:dyDescent="0.3">
      <c r="A5" s="4" t="s">
        <v>29</v>
      </c>
      <c r="B5">
        <v>873675</v>
      </c>
    </row>
    <row r="6" spans="1:2" x14ac:dyDescent="0.3">
      <c r="A6" s="4" t="s">
        <v>18</v>
      </c>
      <c r="B6">
        <v>627665</v>
      </c>
    </row>
    <row r="7" spans="1:2" x14ac:dyDescent="0.3">
      <c r="A7" s="4" t="s">
        <v>13</v>
      </c>
      <c r="B7">
        <v>979825</v>
      </c>
    </row>
    <row r="8" spans="1:2" x14ac:dyDescent="0.3">
      <c r="A8" s="4" t="s">
        <v>23</v>
      </c>
      <c r="B8">
        <v>604820</v>
      </c>
    </row>
    <row r="9" spans="1:2" x14ac:dyDescent="0.3">
      <c r="A9" s="4" t="s">
        <v>133</v>
      </c>
      <c r="B9">
        <v>4592100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2A5A-7872-4BC9-B936-8818E2A335CE}">
  <dimension ref="A1:J9"/>
  <sheetViews>
    <sheetView workbookViewId="0">
      <selection activeCell="A2" sqref="A2:F2"/>
    </sheetView>
  </sheetViews>
  <sheetFormatPr defaultRowHeight="14.4" x14ac:dyDescent="0.3"/>
  <cols>
    <col min="1" max="2" width="8.88671875" style="5"/>
    <col min="4" max="4" width="10.6640625" customWidth="1"/>
    <col min="6" max="6" width="14.33203125" customWidth="1"/>
  </cols>
  <sheetData>
    <row r="1" spans="1:10" ht="18" x14ac:dyDescent="0.35">
      <c r="A1" s="6" t="s">
        <v>136</v>
      </c>
      <c r="B1" s="6"/>
      <c r="C1" s="7" t="s">
        <v>137</v>
      </c>
      <c r="D1" s="7"/>
      <c r="E1" s="7" t="s">
        <v>138</v>
      </c>
      <c r="F1" s="7"/>
    </row>
    <row r="2" spans="1:10" ht="21" x14ac:dyDescent="0.4">
      <c r="A2" s="8">
        <v>4592100</v>
      </c>
      <c r="B2" s="8"/>
      <c r="C2" s="9">
        <v>453</v>
      </c>
      <c r="D2" s="9"/>
      <c r="E2" s="10">
        <v>5</v>
      </c>
      <c r="F2" s="10"/>
    </row>
    <row r="8" spans="1:10" x14ac:dyDescent="0.3">
      <c r="E8" s="11" t="s">
        <v>139</v>
      </c>
      <c r="F8" s="11"/>
      <c r="G8" s="11"/>
      <c r="H8" s="11"/>
      <c r="I8" s="11"/>
      <c r="J8" s="11"/>
    </row>
    <row r="9" spans="1:10" x14ac:dyDescent="0.3">
      <c r="E9" s="11"/>
      <c r="F9" s="11"/>
      <c r="G9" s="11"/>
      <c r="H9" s="11"/>
      <c r="I9" s="11"/>
      <c r="J9" s="11"/>
    </row>
  </sheetData>
  <mergeCells count="7">
    <mergeCell ref="E8:J9"/>
    <mergeCell ref="A1:B1"/>
    <mergeCell ref="C1:D1"/>
    <mergeCell ref="E1:F1"/>
    <mergeCell ref="A2:B2"/>
    <mergeCell ref="C2:D2"/>
    <mergeCell ref="E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25" workbookViewId="0">
      <selection activeCell="G17" sqref="G17"/>
    </sheetView>
  </sheetViews>
  <sheetFormatPr defaultRowHeight="14.4" x14ac:dyDescent="0.3"/>
  <cols>
    <col min="1" max="1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46029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</v>
      </c>
      <c r="H2">
        <v>1200</v>
      </c>
      <c r="I2">
        <f>SUM(G2*H2)</f>
        <v>6000</v>
      </c>
    </row>
    <row r="3" spans="1:9" x14ac:dyDescent="0.3">
      <c r="A3" s="2">
        <v>46196</v>
      </c>
      <c r="B3" t="s">
        <v>14</v>
      </c>
      <c r="C3" t="s">
        <v>10</v>
      </c>
      <c r="D3" t="s">
        <v>11</v>
      </c>
      <c r="E3" t="s">
        <v>15</v>
      </c>
      <c r="F3" t="s">
        <v>16</v>
      </c>
      <c r="G3">
        <v>2</v>
      </c>
      <c r="H3">
        <v>1260</v>
      </c>
      <c r="I3">
        <f>SUM(G3*H3)</f>
        <v>2520</v>
      </c>
    </row>
    <row r="4" spans="1:9" x14ac:dyDescent="0.3">
      <c r="A4" s="2">
        <v>46078</v>
      </c>
      <c r="B4" t="s">
        <v>17</v>
      </c>
      <c r="C4" t="s">
        <v>10</v>
      </c>
      <c r="D4" t="s">
        <v>11</v>
      </c>
      <c r="E4" t="s">
        <v>12</v>
      </c>
      <c r="F4" t="s">
        <v>18</v>
      </c>
      <c r="G4">
        <v>4</v>
      </c>
      <c r="H4">
        <v>1140</v>
      </c>
      <c r="I4">
        <f t="shared" ref="I4:I67" si="0">SUM(G4*H4)</f>
        <v>4560</v>
      </c>
    </row>
    <row r="5" spans="1:9" x14ac:dyDescent="0.3">
      <c r="A5" s="2">
        <v>46079</v>
      </c>
      <c r="B5" t="s">
        <v>19</v>
      </c>
      <c r="C5" t="s">
        <v>20</v>
      </c>
      <c r="D5" t="s">
        <v>21</v>
      </c>
      <c r="E5" t="s">
        <v>15</v>
      </c>
      <c r="F5" t="s">
        <v>13</v>
      </c>
      <c r="G5">
        <v>8</v>
      </c>
      <c r="H5">
        <v>12500</v>
      </c>
      <c r="I5">
        <f t="shared" si="0"/>
        <v>100000</v>
      </c>
    </row>
    <row r="6" spans="1:9" x14ac:dyDescent="0.3">
      <c r="A6" s="2">
        <v>46110</v>
      </c>
      <c r="B6" t="s">
        <v>22</v>
      </c>
      <c r="C6" t="s">
        <v>20</v>
      </c>
      <c r="D6" t="s">
        <v>21</v>
      </c>
      <c r="E6" t="s">
        <v>12</v>
      </c>
      <c r="F6" t="s">
        <v>23</v>
      </c>
      <c r="G6">
        <v>5</v>
      </c>
      <c r="H6">
        <v>12500</v>
      </c>
      <c r="I6">
        <f t="shared" si="0"/>
        <v>62500</v>
      </c>
    </row>
    <row r="7" spans="1:9" x14ac:dyDescent="0.3">
      <c r="A7" s="2">
        <v>46046</v>
      </c>
      <c r="B7" t="s">
        <v>24</v>
      </c>
      <c r="C7" t="s">
        <v>10</v>
      </c>
      <c r="D7" t="s">
        <v>11</v>
      </c>
      <c r="E7" t="s">
        <v>25</v>
      </c>
      <c r="F7" t="s">
        <v>23</v>
      </c>
      <c r="G7">
        <v>7</v>
      </c>
      <c r="H7">
        <v>1140</v>
      </c>
      <c r="I7">
        <f t="shared" si="0"/>
        <v>7980</v>
      </c>
    </row>
    <row r="8" spans="1:9" x14ac:dyDescent="0.3">
      <c r="A8" s="2">
        <v>46090</v>
      </c>
      <c r="B8" t="s">
        <v>26</v>
      </c>
      <c r="C8" t="s">
        <v>27</v>
      </c>
      <c r="D8" t="s">
        <v>28</v>
      </c>
      <c r="E8" t="s">
        <v>15</v>
      </c>
      <c r="F8" t="s">
        <v>29</v>
      </c>
      <c r="G8">
        <v>1</v>
      </c>
      <c r="H8">
        <v>1890</v>
      </c>
      <c r="I8">
        <f t="shared" si="0"/>
        <v>1890</v>
      </c>
    </row>
    <row r="9" spans="1:9" x14ac:dyDescent="0.3">
      <c r="A9" s="2">
        <v>46164</v>
      </c>
      <c r="B9" t="s">
        <v>30</v>
      </c>
      <c r="C9" t="s">
        <v>10</v>
      </c>
      <c r="D9" t="s">
        <v>11</v>
      </c>
      <c r="E9" t="s">
        <v>12</v>
      </c>
      <c r="F9" t="s">
        <v>16</v>
      </c>
      <c r="G9">
        <v>5</v>
      </c>
      <c r="H9">
        <v>1200</v>
      </c>
      <c r="I9">
        <f t="shared" si="0"/>
        <v>6000</v>
      </c>
    </row>
    <row r="10" spans="1:9" x14ac:dyDescent="0.3">
      <c r="A10" s="2">
        <v>46192</v>
      </c>
      <c r="B10" t="s">
        <v>31</v>
      </c>
      <c r="C10" t="s">
        <v>32</v>
      </c>
      <c r="D10" t="s">
        <v>33</v>
      </c>
      <c r="E10" t="s">
        <v>15</v>
      </c>
      <c r="F10" t="s">
        <v>13</v>
      </c>
      <c r="G10">
        <v>4</v>
      </c>
      <c r="H10">
        <v>55000</v>
      </c>
      <c r="I10">
        <f t="shared" si="0"/>
        <v>220000</v>
      </c>
    </row>
    <row r="11" spans="1:9" x14ac:dyDescent="0.3">
      <c r="A11" s="2">
        <v>46120</v>
      </c>
      <c r="B11" t="s">
        <v>34</v>
      </c>
      <c r="C11" t="s">
        <v>10</v>
      </c>
      <c r="D11" t="s">
        <v>11</v>
      </c>
      <c r="E11" t="s">
        <v>25</v>
      </c>
      <c r="F11" t="s">
        <v>13</v>
      </c>
      <c r="G11">
        <v>5</v>
      </c>
      <c r="H11">
        <v>1260</v>
      </c>
      <c r="I11">
        <f t="shared" si="0"/>
        <v>6300</v>
      </c>
    </row>
    <row r="12" spans="1:9" x14ac:dyDescent="0.3">
      <c r="A12" s="2">
        <v>46113</v>
      </c>
      <c r="B12" t="s">
        <v>35</v>
      </c>
      <c r="C12" t="s">
        <v>36</v>
      </c>
      <c r="D12" t="s">
        <v>33</v>
      </c>
      <c r="E12" t="s">
        <v>15</v>
      </c>
      <c r="F12" t="s">
        <v>18</v>
      </c>
      <c r="G12">
        <v>4</v>
      </c>
      <c r="H12">
        <v>22000</v>
      </c>
      <c r="I12">
        <f t="shared" si="0"/>
        <v>88000</v>
      </c>
    </row>
    <row r="13" spans="1:9" x14ac:dyDescent="0.3">
      <c r="A13" s="2">
        <v>46159</v>
      </c>
      <c r="B13" t="s">
        <v>37</v>
      </c>
      <c r="C13" t="s">
        <v>38</v>
      </c>
      <c r="D13" t="s">
        <v>11</v>
      </c>
      <c r="E13" t="s">
        <v>39</v>
      </c>
      <c r="F13" t="s">
        <v>29</v>
      </c>
      <c r="G13">
        <v>4</v>
      </c>
      <c r="H13">
        <v>1800</v>
      </c>
      <c r="I13">
        <f t="shared" si="0"/>
        <v>7200</v>
      </c>
    </row>
    <row r="14" spans="1:9" x14ac:dyDescent="0.3">
      <c r="A14" s="2">
        <v>46259</v>
      </c>
      <c r="B14" t="s">
        <v>40</v>
      </c>
      <c r="C14" t="s">
        <v>41</v>
      </c>
      <c r="D14" t="s">
        <v>11</v>
      </c>
      <c r="E14" t="s">
        <v>15</v>
      </c>
      <c r="F14" t="s">
        <v>13</v>
      </c>
      <c r="G14">
        <v>4</v>
      </c>
      <c r="H14">
        <v>2500</v>
      </c>
      <c r="I14">
        <f t="shared" si="0"/>
        <v>10000</v>
      </c>
    </row>
    <row r="15" spans="1:9" x14ac:dyDescent="0.3">
      <c r="A15" s="2">
        <v>46229</v>
      </c>
      <c r="B15" t="s">
        <v>42</v>
      </c>
      <c r="C15" t="s">
        <v>32</v>
      </c>
      <c r="D15" t="s">
        <v>33</v>
      </c>
      <c r="E15" t="s">
        <v>25</v>
      </c>
      <c r="F15" t="s">
        <v>16</v>
      </c>
      <c r="G15">
        <v>6</v>
      </c>
      <c r="H15">
        <v>57750</v>
      </c>
      <c r="I15">
        <f t="shared" si="0"/>
        <v>346500</v>
      </c>
    </row>
    <row r="16" spans="1:9" x14ac:dyDescent="0.3">
      <c r="A16" s="2">
        <v>46256</v>
      </c>
      <c r="B16" t="s">
        <v>43</v>
      </c>
      <c r="C16" t="s">
        <v>44</v>
      </c>
      <c r="D16" t="s">
        <v>33</v>
      </c>
      <c r="E16" t="s">
        <v>39</v>
      </c>
      <c r="F16" t="s">
        <v>29</v>
      </c>
      <c r="G16">
        <v>6</v>
      </c>
      <c r="H16">
        <v>14000</v>
      </c>
      <c r="I16">
        <f t="shared" si="0"/>
        <v>84000</v>
      </c>
    </row>
    <row r="17" spans="1:9" x14ac:dyDescent="0.3">
      <c r="A17" s="2">
        <v>46059</v>
      </c>
      <c r="B17" t="s">
        <v>45</v>
      </c>
      <c r="C17" t="s">
        <v>46</v>
      </c>
      <c r="D17" t="s">
        <v>11</v>
      </c>
      <c r="E17" t="s">
        <v>12</v>
      </c>
      <c r="F17" t="s">
        <v>18</v>
      </c>
      <c r="G17">
        <v>5</v>
      </c>
      <c r="H17">
        <v>3500</v>
      </c>
      <c r="I17">
        <f t="shared" si="0"/>
        <v>17500</v>
      </c>
    </row>
    <row r="18" spans="1:9" x14ac:dyDescent="0.3">
      <c r="A18" s="2">
        <v>46090</v>
      </c>
      <c r="B18" t="s">
        <v>47</v>
      </c>
      <c r="C18" t="s">
        <v>48</v>
      </c>
      <c r="D18" t="s">
        <v>28</v>
      </c>
      <c r="E18" t="s">
        <v>25</v>
      </c>
      <c r="F18" t="s">
        <v>13</v>
      </c>
      <c r="G18">
        <v>7</v>
      </c>
      <c r="H18">
        <v>9450</v>
      </c>
      <c r="I18">
        <f t="shared" si="0"/>
        <v>66150</v>
      </c>
    </row>
    <row r="19" spans="1:9" x14ac:dyDescent="0.3">
      <c r="A19" s="2">
        <v>46153</v>
      </c>
      <c r="B19" t="s">
        <v>49</v>
      </c>
      <c r="C19" t="s">
        <v>38</v>
      </c>
      <c r="D19" t="s">
        <v>11</v>
      </c>
      <c r="E19" t="s">
        <v>15</v>
      </c>
      <c r="F19" t="s">
        <v>16</v>
      </c>
      <c r="G19">
        <v>8</v>
      </c>
      <c r="H19">
        <v>1710</v>
      </c>
      <c r="I19">
        <f t="shared" si="0"/>
        <v>13680</v>
      </c>
    </row>
    <row r="20" spans="1:9" x14ac:dyDescent="0.3">
      <c r="A20" s="2">
        <v>46183</v>
      </c>
      <c r="B20" t="s">
        <v>50</v>
      </c>
      <c r="C20" t="s">
        <v>38</v>
      </c>
      <c r="D20" t="s">
        <v>11</v>
      </c>
      <c r="E20" t="s">
        <v>15</v>
      </c>
      <c r="F20" t="s">
        <v>29</v>
      </c>
      <c r="G20">
        <v>3</v>
      </c>
      <c r="H20">
        <v>1890</v>
      </c>
      <c r="I20">
        <f t="shared" si="0"/>
        <v>5670</v>
      </c>
    </row>
    <row r="21" spans="1:9" x14ac:dyDescent="0.3">
      <c r="A21" s="2">
        <v>46175</v>
      </c>
      <c r="B21" t="s">
        <v>51</v>
      </c>
      <c r="C21" t="s">
        <v>20</v>
      </c>
      <c r="D21" t="s">
        <v>21</v>
      </c>
      <c r="E21" t="s">
        <v>15</v>
      </c>
      <c r="F21" t="s">
        <v>16</v>
      </c>
      <c r="G21">
        <v>8</v>
      </c>
      <c r="H21">
        <v>12500</v>
      </c>
      <c r="I21">
        <f t="shared" si="0"/>
        <v>100000</v>
      </c>
    </row>
    <row r="22" spans="1:9" x14ac:dyDescent="0.3">
      <c r="A22" s="2">
        <v>46215</v>
      </c>
      <c r="B22" t="s">
        <v>52</v>
      </c>
      <c r="C22" t="s">
        <v>48</v>
      </c>
      <c r="D22" t="s">
        <v>28</v>
      </c>
      <c r="E22" t="s">
        <v>15</v>
      </c>
      <c r="F22" t="s">
        <v>23</v>
      </c>
      <c r="G22">
        <v>5</v>
      </c>
      <c r="H22">
        <v>9000</v>
      </c>
      <c r="I22">
        <f t="shared" si="0"/>
        <v>45000</v>
      </c>
    </row>
    <row r="23" spans="1:9" x14ac:dyDescent="0.3">
      <c r="A23" s="2">
        <v>46063</v>
      </c>
      <c r="B23" t="s">
        <v>53</v>
      </c>
      <c r="C23" t="s">
        <v>20</v>
      </c>
      <c r="D23" t="s">
        <v>21</v>
      </c>
      <c r="E23" t="s">
        <v>25</v>
      </c>
      <c r="F23" t="s">
        <v>18</v>
      </c>
      <c r="G23">
        <v>8</v>
      </c>
      <c r="H23">
        <v>11875</v>
      </c>
      <c r="I23">
        <f t="shared" si="0"/>
        <v>95000</v>
      </c>
    </row>
    <row r="24" spans="1:9" x14ac:dyDescent="0.3">
      <c r="A24" s="2">
        <v>46152</v>
      </c>
      <c r="B24" t="s">
        <v>54</v>
      </c>
      <c r="C24" t="s">
        <v>38</v>
      </c>
      <c r="D24" t="s">
        <v>11</v>
      </c>
      <c r="E24" t="s">
        <v>12</v>
      </c>
      <c r="F24" t="s">
        <v>13</v>
      </c>
      <c r="G24">
        <v>2</v>
      </c>
      <c r="H24">
        <v>1800</v>
      </c>
      <c r="I24">
        <f t="shared" si="0"/>
        <v>3600</v>
      </c>
    </row>
    <row r="25" spans="1:9" x14ac:dyDescent="0.3">
      <c r="A25" s="2">
        <v>46218</v>
      </c>
      <c r="B25" t="s">
        <v>55</v>
      </c>
      <c r="C25" t="s">
        <v>36</v>
      </c>
      <c r="D25" t="s">
        <v>33</v>
      </c>
      <c r="E25" t="s">
        <v>25</v>
      </c>
      <c r="F25" t="s">
        <v>29</v>
      </c>
      <c r="G25">
        <v>3</v>
      </c>
      <c r="H25">
        <v>20900</v>
      </c>
      <c r="I25">
        <f t="shared" si="0"/>
        <v>62700</v>
      </c>
    </row>
    <row r="26" spans="1:9" x14ac:dyDescent="0.3">
      <c r="A26" s="2">
        <v>46051</v>
      </c>
      <c r="B26" t="s">
        <v>56</v>
      </c>
      <c r="C26" t="s">
        <v>32</v>
      </c>
      <c r="D26" t="s">
        <v>33</v>
      </c>
      <c r="E26" t="s">
        <v>12</v>
      </c>
      <c r="F26" t="s">
        <v>16</v>
      </c>
      <c r="G26">
        <v>6</v>
      </c>
      <c r="H26">
        <v>55000</v>
      </c>
      <c r="I26">
        <f t="shared" si="0"/>
        <v>330000</v>
      </c>
    </row>
    <row r="27" spans="1:9" x14ac:dyDescent="0.3">
      <c r="A27" s="2">
        <v>46247</v>
      </c>
      <c r="B27" t="s">
        <v>57</v>
      </c>
      <c r="C27" t="s">
        <v>44</v>
      </c>
      <c r="D27" t="s">
        <v>33</v>
      </c>
      <c r="E27" t="s">
        <v>39</v>
      </c>
      <c r="F27" t="s">
        <v>16</v>
      </c>
      <c r="G27">
        <v>2</v>
      </c>
      <c r="H27">
        <v>13300</v>
      </c>
      <c r="I27">
        <f t="shared" si="0"/>
        <v>26600</v>
      </c>
    </row>
    <row r="28" spans="1:9" x14ac:dyDescent="0.3">
      <c r="A28" s="2">
        <v>46219</v>
      </c>
      <c r="B28" t="s">
        <v>58</v>
      </c>
      <c r="C28" t="s">
        <v>48</v>
      </c>
      <c r="D28" t="s">
        <v>28</v>
      </c>
      <c r="E28" t="s">
        <v>39</v>
      </c>
      <c r="F28" t="s">
        <v>18</v>
      </c>
      <c r="G28">
        <v>3</v>
      </c>
      <c r="H28">
        <v>9000</v>
      </c>
      <c r="I28">
        <f t="shared" si="0"/>
        <v>27000</v>
      </c>
    </row>
    <row r="29" spans="1:9" x14ac:dyDescent="0.3">
      <c r="A29" s="2">
        <v>46090</v>
      </c>
      <c r="B29" t="s">
        <v>59</v>
      </c>
      <c r="C29" t="s">
        <v>38</v>
      </c>
      <c r="D29" t="s">
        <v>11</v>
      </c>
      <c r="E29" t="s">
        <v>12</v>
      </c>
      <c r="F29" t="s">
        <v>23</v>
      </c>
      <c r="G29">
        <v>7</v>
      </c>
      <c r="H29">
        <v>1800</v>
      </c>
      <c r="I29">
        <f t="shared" si="0"/>
        <v>12600</v>
      </c>
    </row>
    <row r="30" spans="1:9" x14ac:dyDescent="0.3">
      <c r="A30" s="2">
        <v>46194</v>
      </c>
      <c r="B30" t="s">
        <v>60</v>
      </c>
      <c r="C30" t="s">
        <v>20</v>
      </c>
      <c r="D30" t="s">
        <v>21</v>
      </c>
      <c r="E30" t="s">
        <v>39</v>
      </c>
      <c r="F30" t="s">
        <v>16</v>
      </c>
      <c r="G30">
        <v>6</v>
      </c>
      <c r="H30">
        <v>13125</v>
      </c>
      <c r="I30">
        <f t="shared" si="0"/>
        <v>78750</v>
      </c>
    </row>
    <row r="31" spans="1:9" x14ac:dyDescent="0.3">
      <c r="A31" s="2">
        <v>46080</v>
      </c>
      <c r="B31" t="s">
        <v>61</v>
      </c>
      <c r="C31" t="s">
        <v>44</v>
      </c>
      <c r="D31" t="s">
        <v>33</v>
      </c>
      <c r="E31" t="s">
        <v>15</v>
      </c>
      <c r="F31" t="s">
        <v>18</v>
      </c>
      <c r="G31">
        <v>2</v>
      </c>
      <c r="H31">
        <v>14000</v>
      </c>
      <c r="I31">
        <f t="shared" si="0"/>
        <v>28000</v>
      </c>
    </row>
    <row r="32" spans="1:9" x14ac:dyDescent="0.3">
      <c r="A32" s="2">
        <v>46081</v>
      </c>
      <c r="B32" t="s">
        <v>62</v>
      </c>
      <c r="C32" t="s">
        <v>48</v>
      </c>
      <c r="D32" t="s">
        <v>28</v>
      </c>
      <c r="E32" t="s">
        <v>15</v>
      </c>
      <c r="F32" t="s">
        <v>16</v>
      </c>
      <c r="G32">
        <v>4</v>
      </c>
      <c r="H32">
        <v>8550</v>
      </c>
      <c r="I32">
        <f t="shared" si="0"/>
        <v>34200</v>
      </c>
    </row>
    <row r="33" spans="1:9" x14ac:dyDescent="0.3">
      <c r="A33" s="2">
        <v>46040</v>
      </c>
      <c r="B33" t="s">
        <v>63</v>
      </c>
      <c r="C33" t="s">
        <v>44</v>
      </c>
      <c r="D33" t="s">
        <v>33</v>
      </c>
      <c r="E33" t="s">
        <v>15</v>
      </c>
      <c r="F33" t="s">
        <v>18</v>
      </c>
      <c r="G33">
        <v>1</v>
      </c>
      <c r="H33">
        <v>14000</v>
      </c>
      <c r="I33">
        <f t="shared" si="0"/>
        <v>14000</v>
      </c>
    </row>
    <row r="34" spans="1:9" x14ac:dyDescent="0.3">
      <c r="A34" s="2">
        <v>46094</v>
      </c>
      <c r="B34" t="s">
        <v>64</v>
      </c>
      <c r="C34" t="s">
        <v>44</v>
      </c>
      <c r="D34" t="s">
        <v>33</v>
      </c>
      <c r="E34" t="s">
        <v>12</v>
      </c>
      <c r="F34" t="s">
        <v>18</v>
      </c>
      <c r="G34">
        <v>8</v>
      </c>
      <c r="H34">
        <v>14000</v>
      </c>
      <c r="I34">
        <f t="shared" si="0"/>
        <v>112000</v>
      </c>
    </row>
    <row r="35" spans="1:9" x14ac:dyDescent="0.3">
      <c r="A35" s="2">
        <v>46144</v>
      </c>
      <c r="B35" t="s">
        <v>65</v>
      </c>
      <c r="C35" t="s">
        <v>27</v>
      </c>
      <c r="D35" t="s">
        <v>28</v>
      </c>
      <c r="E35" t="s">
        <v>39</v>
      </c>
      <c r="F35" t="s">
        <v>13</v>
      </c>
      <c r="G35">
        <v>4</v>
      </c>
      <c r="H35">
        <v>1890</v>
      </c>
      <c r="I35">
        <f t="shared" si="0"/>
        <v>7560</v>
      </c>
    </row>
    <row r="36" spans="1:9" x14ac:dyDescent="0.3">
      <c r="A36" s="2">
        <v>46047</v>
      </c>
      <c r="B36" t="s">
        <v>66</v>
      </c>
      <c r="C36" t="s">
        <v>10</v>
      </c>
      <c r="D36" t="s">
        <v>11</v>
      </c>
      <c r="E36" t="s">
        <v>39</v>
      </c>
      <c r="F36" t="s">
        <v>29</v>
      </c>
      <c r="G36">
        <v>7</v>
      </c>
      <c r="H36">
        <v>1200</v>
      </c>
      <c r="I36">
        <f t="shared" si="0"/>
        <v>8400</v>
      </c>
    </row>
    <row r="37" spans="1:9" x14ac:dyDescent="0.3">
      <c r="A37" s="2">
        <v>46244</v>
      </c>
      <c r="B37" t="s">
        <v>67</v>
      </c>
      <c r="C37" t="s">
        <v>46</v>
      </c>
      <c r="D37" t="s">
        <v>11</v>
      </c>
      <c r="E37" t="s">
        <v>15</v>
      </c>
      <c r="F37" t="s">
        <v>29</v>
      </c>
      <c r="G37">
        <v>1</v>
      </c>
      <c r="H37">
        <v>3325</v>
      </c>
      <c r="I37">
        <f t="shared" si="0"/>
        <v>3325</v>
      </c>
    </row>
    <row r="38" spans="1:9" x14ac:dyDescent="0.3">
      <c r="A38" s="2">
        <v>46227</v>
      </c>
      <c r="B38" t="s">
        <v>68</v>
      </c>
      <c r="C38" t="s">
        <v>36</v>
      </c>
      <c r="D38" t="s">
        <v>33</v>
      </c>
      <c r="E38" t="s">
        <v>12</v>
      </c>
      <c r="F38" t="s">
        <v>13</v>
      </c>
      <c r="G38">
        <v>2</v>
      </c>
      <c r="H38">
        <v>22000</v>
      </c>
      <c r="I38">
        <f t="shared" si="0"/>
        <v>44000</v>
      </c>
    </row>
    <row r="39" spans="1:9" x14ac:dyDescent="0.3">
      <c r="A39" s="2">
        <v>46137</v>
      </c>
      <c r="B39" t="s">
        <v>69</v>
      </c>
      <c r="C39" t="s">
        <v>48</v>
      </c>
      <c r="D39" t="s">
        <v>28</v>
      </c>
      <c r="E39" t="s">
        <v>12</v>
      </c>
      <c r="F39" t="s">
        <v>23</v>
      </c>
      <c r="G39">
        <v>3</v>
      </c>
      <c r="H39">
        <v>9450</v>
      </c>
      <c r="I39">
        <f t="shared" si="0"/>
        <v>28350</v>
      </c>
    </row>
    <row r="40" spans="1:9" x14ac:dyDescent="0.3">
      <c r="A40" s="2">
        <v>46086</v>
      </c>
      <c r="B40" t="s">
        <v>70</v>
      </c>
      <c r="C40" t="s">
        <v>46</v>
      </c>
      <c r="D40" t="s">
        <v>11</v>
      </c>
      <c r="E40" t="s">
        <v>15</v>
      </c>
      <c r="F40" t="s">
        <v>16</v>
      </c>
      <c r="G40">
        <v>2</v>
      </c>
      <c r="H40">
        <v>3675</v>
      </c>
      <c r="I40">
        <f t="shared" si="0"/>
        <v>7350</v>
      </c>
    </row>
    <row r="41" spans="1:9" x14ac:dyDescent="0.3">
      <c r="A41" s="2">
        <v>46237</v>
      </c>
      <c r="B41" t="s">
        <v>71</v>
      </c>
      <c r="C41" t="s">
        <v>48</v>
      </c>
      <c r="D41" t="s">
        <v>28</v>
      </c>
      <c r="E41" t="s">
        <v>12</v>
      </c>
      <c r="F41" t="s">
        <v>13</v>
      </c>
      <c r="G41">
        <v>1</v>
      </c>
      <c r="H41">
        <v>8550</v>
      </c>
      <c r="I41">
        <f t="shared" si="0"/>
        <v>8550</v>
      </c>
    </row>
    <row r="42" spans="1:9" x14ac:dyDescent="0.3">
      <c r="A42" s="2">
        <v>46147</v>
      </c>
      <c r="B42" t="s">
        <v>72</v>
      </c>
      <c r="C42" t="s">
        <v>20</v>
      </c>
      <c r="D42" t="s">
        <v>21</v>
      </c>
      <c r="E42" t="s">
        <v>39</v>
      </c>
      <c r="F42" t="s">
        <v>16</v>
      </c>
      <c r="G42">
        <v>8</v>
      </c>
      <c r="H42">
        <v>12500</v>
      </c>
      <c r="I42">
        <f t="shared" si="0"/>
        <v>100000</v>
      </c>
    </row>
    <row r="43" spans="1:9" x14ac:dyDescent="0.3">
      <c r="A43" s="2">
        <v>46120</v>
      </c>
      <c r="B43" t="s">
        <v>73</v>
      </c>
      <c r="C43" t="s">
        <v>38</v>
      </c>
      <c r="D43" t="s">
        <v>11</v>
      </c>
      <c r="E43" t="s">
        <v>25</v>
      </c>
      <c r="F43" t="s">
        <v>29</v>
      </c>
      <c r="G43">
        <v>1</v>
      </c>
      <c r="H43">
        <v>1890</v>
      </c>
      <c r="I43">
        <f t="shared" si="0"/>
        <v>1890</v>
      </c>
    </row>
    <row r="44" spans="1:9" x14ac:dyDescent="0.3">
      <c r="A44" s="2">
        <v>46131</v>
      </c>
      <c r="B44" t="s">
        <v>74</v>
      </c>
      <c r="C44" t="s">
        <v>41</v>
      </c>
      <c r="D44" t="s">
        <v>11</v>
      </c>
      <c r="E44" t="s">
        <v>12</v>
      </c>
      <c r="F44" t="s">
        <v>23</v>
      </c>
      <c r="G44">
        <v>8</v>
      </c>
      <c r="H44">
        <v>2500</v>
      </c>
      <c r="I44">
        <f t="shared" si="0"/>
        <v>20000</v>
      </c>
    </row>
    <row r="45" spans="1:9" x14ac:dyDescent="0.3">
      <c r="A45" s="2">
        <v>46037</v>
      </c>
      <c r="B45" t="s">
        <v>75</v>
      </c>
      <c r="C45" t="s">
        <v>44</v>
      </c>
      <c r="D45" t="s">
        <v>33</v>
      </c>
      <c r="E45" t="s">
        <v>15</v>
      </c>
      <c r="F45" t="s">
        <v>16</v>
      </c>
      <c r="G45">
        <v>1</v>
      </c>
      <c r="H45">
        <v>14000</v>
      </c>
      <c r="I45">
        <f t="shared" si="0"/>
        <v>14000</v>
      </c>
    </row>
    <row r="46" spans="1:9" x14ac:dyDescent="0.3">
      <c r="A46" s="2">
        <v>46145</v>
      </c>
      <c r="B46" t="s">
        <v>76</v>
      </c>
      <c r="C46" t="s">
        <v>27</v>
      </c>
      <c r="D46" t="s">
        <v>28</v>
      </c>
      <c r="E46" t="s">
        <v>15</v>
      </c>
      <c r="F46" t="s">
        <v>13</v>
      </c>
      <c r="G46">
        <v>3</v>
      </c>
      <c r="H46">
        <v>1710</v>
      </c>
      <c r="I46">
        <f t="shared" si="0"/>
        <v>5130</v>
      </c>
    </row>
    <row r="47" spans="1:9" x14ac:dyDescent="0.3">
      <c r="A47" s="2">
        <v>46175</v>
      </c>
      <c r="B47" t="s">
        <v>77</v>
      </c>
      <c r="C47" t="s">
        <v>10</v>
      </c>
      <c r="D47" t="s">
        <v>11</v>
      </c>
      <c r="E47" t="s">
        <v>39</v>
      </c>
      <c r="F47" t="s">
        <v>16</v>
      </c>
      <c r="G47">
        <v>2</v>
      </c>
      <c r="H47">
        <v>1200</v>
      </c>
      <c r="I47">
        <f t="shared" si="0"/>
        <v>2400</v>
      </c>
    </row>
    <row r="48" spans="1:9" x14ac:dyDescent="0.3">
      <c r="A48" s="2">
        <v>46086</v>
      </c>
      <c r="B48" t="s">
        <v>78</v>
      </c>
      <c r="C48" t="s">
        <v>27</v>
      </c>
      <c r="D48" t="s">
        <v>28</v>
      </c>
      <c r="E48" t="s">
        <v>39</v>
      </c>
      <c r="F48" t="s">
        <v>18</v>
      </c>
      <c r="G48">
        <v>1</v>
      </c>
      <c r="H48">
        <v>1710</v>
      </c>
      <c r="I48">
        <f t="shared" si="0"/>
        <v>1710</v>
      </c>
    </row>
    <row r="49" spans="1:9" x14ac:dyDescent="0.3">
      <c r="A49" s="2">
        <v>46156</v>
      </c>
      <c r="B49" t="s">
        <v>79</v>
      </c>
      <c r="C49" t="s">
        <v>27</v>
      </c>
      <c r="D49" t="s">
        <v>28</v>
      </c>
      <c r="E49" t="s">
        <v>12</v>
      </c>
      <c r="F49" t="s">
        <v>23</v>
      </c>
      <c r="G49">
        <v>6</v>
      </c>
      <c r="H49">
        <v>1800</v>
      </c>
      <c r="I49">
        <f t="shared" si="0"/>
        <v>10800</v>
      </c>
    </row>
    <row r="50" spans="1:9" x14ac:dyDescent="0.3">
      <c r="A50" s="2">
        <v>46090</v>
      </c>
      <c r="B50" t="s">
        <v>80</v>
      </c>
      <c r="C50" t="s">
        <v>44</v>
      </c>
      <c r="D50" t="s">
        <v>33</v>
      </c>
      <c r="E50" t="s">
        <v>25</v>
      </c>
      <c r="F50" t="s">
        <v>29</v>
      </c>
      <c r="G50">
        <v>7</v>
      </c>
      <c r="H50">
        <v>14000</v>
      </c>
      <c r="I50">
        <f t="shared" si="0"/>
        <v>98000</v>
      </c>
    </row>
    <row r="51" spans="1:9" x14ac:dyDescent="0.3">
      <c r="A51" s="2">
        <v>46260</v>
      </c>
      <c r="B51" t="s">
        <v>81</v>
      </c>
      <c r="C51" t="s">
        <v>36</v>
      </c>
      <c r="D51" t="s">
        <v>33</v>
      </c>
      <c r="E51" t="s">
        <v>39</v>
      </c>
      <c r="F51" t="s">
        <v>18</v>
      </c>
      <c r="G51">
        <v>2</v>
      </c>
      <c r="H51">
        <v>20900</v>
      </c>
      <c r="I51">
        <f t="shared" si="0"/>
        <v>41800</v>
      </c>
    </row>
    <row r="52" spans="1:9" x14ac:dyDescent="0.3">
      <c r="A52" s="2">
        <v>46048</v>
      </c>
      <c r="B52" t="s">
        <v>82</v>
      </c>
      <c r="C52" t="s">
        <v>27</v>
      </c>
      <c r="D52" t="s">
        <v>28</v>
      </c>
      <c r="E52" t="s">
        <v>25</v>
      </c>
      <c r="F52" t="s">
        <v>13</v>
      </c>
      <c r="G52">
        <v>2</v>
      </c>
      <c r="H52">
        <v>1800</v>
      </c>
      <c r="I52">
        <f t="shared" si="0"/>
        <v>3600</v>
      </c>
    </row>
    <row r="53" spans="1:9" x14ac:dyDescent="0.3">
      <c r="A53" s="2">
        <v>46248</v>
      </c>
      <c r="B53" t="s">
        <v>83</v>
      </c>
      <c r="C53" t="s">
        <v>36</v>
      </c>
      <c r="D53" t="s">
        <v>33</v>
      </c>
      <c r="E53" t="s">
        <v>25</v>
      </c>
      <c r="F53" t="s">
        <v>23</v>
      </c>
      <c r="G53">
        <v>2</v>
      </c>
      <c r="H53">
        <v>22000</v>
      </c>
      <c r="I53">
        <f t="shared" si="0"/>
        <v>44000</v>
      </c>
    </row>
    <row r="54" spans="1:9" x14ac:dyDescent="0.3">
      <c r="A54" s="2">
        <v>46135</v>
      </c>
      <c r="B54" t="s">
        <v>84</v>
      </c>
      <c r="C54" t="s">
        <v>38</v>
      </c>
      <c r="D54" t="s">
        <v>11</v>
      </c>
      <c r="E54" t="s">
        <v>25</v>
      </c>
      <c r="F54" t="s">
        <v>16</v>
      </c>
      <c r="G54">
        <v>5</v>
      </c>
      <c r="H54">
        <v>1710</v>
      </c>
      <c r="I54">
        <f t="shared" si="0"/>
        <v>8550</v>
      </c>
    </row>
    <row r="55" spans="1:9" x14ac:dyDescent="0.3">
      <c r="A55" s="2">
        <v>46090</v>
      </c>
      <c r="B55" t="s">
        <v>85</v>
      </c>
      <c r="C55" t="s">
        <v>38</v>
      </c>
      <c r="D55" t="s">
        <v>11</v>
      </c>
      <c r="E55" t="s">
        <v>12</v>
      </c>
      <c r="F55" t="s">
        <v>23</v>
      </c>
      <c r="G55">
        <v>2</v>
      </c>
      <c r="H55">
        <v>1710</v>
      </c>
      <c r="I55">
        <f t="shared" si="0"/>
        <v>3420</v>
      </c>
    </row>
    <row r="56" spans="1:9" x14ac:dyDescent="0.3">
      <c r="A56" s="2">
        <v>46177</v>
      </c>
      <c r="B56" t="s">
        <v>86</v>
      </c>
      <c r="C56" t="s">
        <v>41</v>
      </c>
      <c r="D56" t="s">
        <v>11</v>
      </c>
      <c r="E56" t="s">
        <v>12</v>
      </c>
      <c r="F56" t="s">
        <v>23</v>
      </c>
      <c r="G56">
        <v>4</v>
      </c>
      <c r="H56">
        <v>2500</v>
      </c>
      <c r="I56">
        <f t="shared" si="0"/>
        <v>10000</v>
      </c>
    </row>
    <row r="57" spans="1:9" x14ac:dyDescent="0.3">
      <c r="A57" s="2">
        <v>46148</v>
      </c>
      <c r="B57" t="s">
        <v>87</v>
      </c>
      <c r="C57" t="s">
        <v>48</v>
      </c>
      <c r="D57" t="s">
        <v>28</v>
      </c>
      <c r="E57" t="s">
        <v>15</v>
      </c>
      <c r="F57" t="s">
        <v>29</v>
      </c>
      <c r="G57">
        <v>5</v>
      </c>
      <c r="H57">
        <v>8550</v>
      </c>
      <c r="I57">
        <f t="shared" si="0"/>
        <v>42750</v>
      </c>
    </row>
    <row r="58" spans="1:9" x14ac:dyDescent="0.3">
      <c r="A58" s="2">
        <v>46034</v>
      </c>
      <c r="B58" t="s">
        <v>88</v>
      </c>
      <c r="C58" t="s">
        <v>41</v>
      </c>
      <c r="D58" t="s">
        <v>11</v>
      </c>
      <c r="E58" t="s">
        <v>12</v>
      </c>
      <c r="F58" t="s">
        <v>23</v>
      </c>
      <c r="G58">
        <v>1</v>
      </c>
      <c r="H58">
        <v>2500</v>
      </c>
      <c r="I58">
        <f t="shared" si="0"/>
        <v>2500</v>
      </c>
    </row>
    <row r="59" spans="1:9" x14ac:dyDescent="0.3">
      <c r="A59" s="2">
        <v>46212</v>
      </c>
      <c r="B59" t="s">
        <v>89</v>
      </c>
      <c r="C59" t="s">
        <v>38</v>
      </c>
      <c r="D59" t="s">
        <v>11</v>
      </c>
      <c r="E59" t="s">
        <v>15</v>
      </c>
      <c r="F59" t="s">
        <v>16</v>
      </c>
      <c r="G59">
        <v>8</v>
      </c>
      <c r="H59">
        <v>1890</v>
      </c>
      <c r="I59">
        <f t="shared" si="0"/>
        <v>15120</v>
      </c>
    </row>
    <row r="60" spans="1:9" x14ac:dyDescent="0.3">
      <c r="A60" s="2">
        <v>46264</v>
      </c>
      <c r="B60" t="s">
        <v>90</v>
      </c>
      <c r="C60" t="s">
        <v>10</v>
      </c>
      <c r="D60" t="s">
        <v>11</v>
      </c>
      <c r="E60" t="s">
        <v>25</v>
      </c>
      <c r="F60" t="s">
        <v>18</v>
      </c>
      <c r="G60">
        <v>3</v>
      </c>
      <c r="H60">
        <v>1140</v>
      </c>
      <c r="I60">
        <f t="shared" si="0"/>
        <v>3420</v>
      </c>
    </row>
    <row r="61" spans="1:9" x14ac:dyDescent="0.3">
      <c r="A61" s="2">
        <v>46060</v>
      </c>
      <c r="B61" t="s">
        <v>91</v>
      </c>
      <c r="C61" t="s">
        <v>48</v>
      </c>
      <c r="D61" t="s">
        <v>28</v>
      </c>
      <c r="E61" t="s">
        <v>15</v>
      </c>
      <c r="F61" t="s">
        <v>23</v>
      </c>
      <c r="G61">
        <v>7</v>
      </c>
      <c r="H61">
        <v>9000</v>
      </c>
      <c r="I61">
        <f t="shared" si="0"/>
        <v>63000</v>
      </c>
    </row>
    <row r="62" spans="1:9" x14ac:dyDescent="0.3">
      <c r="A62" s="2">
        <v>46253</v>
      </c>
      <c r="B62" t="s">
        <v>92</v>
      </c>
      <c r="C62" t="s">
        <v>36</v>
      </c>
      <c r="D62" t="s">
        <v>33</v>
      </c>
      <c r="E62" t="s">
        <v>12</v>
      </c>
      <c r="F62" t="s">
        <v>13</v>
      </c>
      <c r="G62">
        <v>1</v>
      </c>
      <c r="H62">
        <v>22000</v>
      </c>
      <c r="I62">
        <f t="shared" si="0"/>
        <v>22000</v>
      </c>
    </row>
    <row r="63" spans="1:9" x14ac:dyDescent="0.3">
      <c r="A63" s="2">
        <v>46113</v>
      </c>
      <c r="B63" t="s">
        <v>93</v>
      </c>
      <c r="C63" t="s">
        <v>10</v>
      </c>
      <c r="D63" t="s">
        <v>11</v>
      </c>
      <c r="E63" t="s">
        <v>12</v>
      </c>
      <c r="F63" t="s">
        <v>13</v>
      </c>
      <c r="G63">
        <v>7</v>
      </c>
      <c r="H63">
        <v>1200</v>
      </c>
      <c r="I63">
        <f t="shared" si="0"/>
        <v>8400</v>
      </c>
    </row>
    <row r="64" spans="1:9" x14ac:dyDescent="0.3">
      <c r="A64" s="2">
        <v>46248</v>
      </c>
      <c r="B64" t="s">
        <v>94</v>
      </c>
      <c r="C64" t="s">
        <v>38</v>
      </c>
      <c r="D64" t="s">
        <v>11</v>
      </c>
      <c r="E64" t="s">
        <v>12</v>
      </c>
      <c r="F64" t="s">
        <v>23</v>
      </c>
      <c r="G64">
        <v>7</v>
      </c>
      <c r="H64">
        <v>1710</v>
      </c>
      <c r="I64">
        <f t="shared" si="0"/>
        <v>11970</v>
      </c>
    </row>
    <row r="65" spans="1:9" x14ac:dyDescent="0.3">
      <c r="A65" s="2">
        <v>46228</v>
      </c>
      <c r="B65" t="s">
        <v>95</v>
      </c>
      <c r="C65" t="s">
        <v>20</v>
      </c>
      <c r="D65" t="s">
        <v>21</v>
      </c>
      <c r="E65" t="s">
        <v>12</v>
      </c>
      <c r="F65" t="s">
        <v>16</v>
      </c>
      <c r="G65">
        <v>4</v>
      </c>
      <c r="H65">
        <v>12500</v>
      </c>
      <c r="I65">
        <f t="shared" si="0"/>
        <v>50000</v>
      </c>
    </row>
    <row r="66" spans="1:9" x14ac:dyDescent="0.3">
      <c r="A66" s="2">
        <v>46246</v>
      </c>
      <c r="B66" t="s">
        <v>96</v>
      </c>
      <c r="C66" t="s">
        <v>20</v>
      </c>
      <c r="D66" t="s">
        <v>21</v>
      </c>
      <c r="E66" t="s">
        <v>12</v>
      </c>
      <c r="F66" t="s">
        <v>13</v>
      </c>
      <c r="G66">
        <v>1</v>
      </c>
      <c r="H66">
        <v>13125</v>
      </c>
      <c r="I66">
        <f t="shared" si="0"/>
        <v>13125</v>
      </c>
    </row>
    <row r="67" spans="1:9" x14ac:dyDescent="0.3">
      <c r="A67" s="2">
        <v>46112</v>
      </c>
      <c r="B67" t="s">
        <v>97</v>
      </c>
      <c r="C67" t="s">
        <v>46</v>
      </c>
      <c r="D67" t="s">
        <v>11</v>
      </c>
      <c r="E67" t="s">
        <v>12</v>
      </c>
      <c r="F67" t="s">
        <v>16</v>
      </c>
      <c r="G67">
        <v>5</v>
      </c>
      <c r="H67">
        <v>3500</v>
      </c>
      <c r="I67">
        <f t="shared" si="0"/>
        <v>17500</v>
      </c>
    </row>
    <row r="68" spans="1:9" x14ac:dyDescent="0.3">
      <c r="A68" s="2">
        <v>46125</v>
      </c>
      <c r="B68" t="s">
        <v>98</v>
      </c>
      <c r="C68" t="s">
        <v>44</v>
      </c>
      <c r="D68" t="s">
        <v>33</v>
      </c>
      <c r="E68" t="s">
        <v>15</v>
      </c>
      <c r="F68" t="s">
        <v>23</v>
      </c>
      <c r="G68">
        <v>6</v>
      </c>
      <c r="H68">
        <v>14000</v>
      </c>
      <c r="I68">
        <f t="shared" ref="I68:I101" si="1">SUM(G68*H68)</f>
        <v>84000</v>
      </c>
    </row>
    <row r="69" spans="1:9" x14ac:dyDescent="0.3">
      <c r="A69" s="2">
        <v>46187</v>
      </c>
      <c r="B69" t="s">
        <v>99</v>
      </c>
      <c r="C69" t="s">
        <v>36</v>
      </c>
      <c r="D69" t="s">
        <v>33</v>
      </c>
      <c r="E69" t="s">
        <v>15</v>
      </c>
      <c r="F69" t="s">
        <v>16</v>
      </c>
      <c r="G69">
        <v>7</v>
      </c>
      <c r="H69">
        <v>22000</v>
      </c>
      <c r="I69">
        <f t="shared" si="1"/>
        <v>154000</v>
      </c>
    </row>
    <row r="70" spans="1:9" x14ac:dyDescent="0.3">
      <c r="A70" s="2">
        <v>46068</v>
      </c>
      <c r="B70" t="s">
        <v>100</v>
      </c>
      <c r="C70" t="s">
        <v>41</v>
      </c>
      <c r="D70" t="s">
        <v>11</v>
      </c>
      <c r="E70" t="s">
        <v>15</v>
      </c>
      <c r="F70" t="s">
        <v>18</v>
      </c>
      <c r="G70">
        <v>5</v>
      </c>
      <c r="H70">
        <v>2375</v>
      </c>
      <c r="I70">
        <f t="shared" si="1"/>
        <v>11875</v>
      </c>
    </row>
    <row r="71" spans="1:9" x14ac:dyDescent="0.3">
      <c r="A71" s="2">
        <v>46111</v>
      </c>
      <c r="B71" t="s">
        <v>101</v>
      </c>
      <c r="C71" t="s">
        <v>20</v>
      </c>
      <c r="D71" t="s">
        <v>21</v>
      </c>
      <c r="E71" t="s">
        <v>15</v>
      </c>
      <c r="F71" t="s">
        <v>29</v>
      </c>
      <c r="G71">
        <v>6</v>
      </c>
      <c r="H71">
        <v>13125</v>
      </c>
      <c r="I71">
        <f t="shared" si="1"/>
        <v>78750</v>
      </c>
    </row>
    <row r="72" spans="1:9" x14ac:dyDescent="0.3">
      <c r="A72" s="2">
        <v>46071</v>
      </c>
      <c r="B72" t="s">
        <v>102</v>
      </c>
      <c r="C72" t="s">
        <v>27</v>
      </c>
      <c r="D72" t="s">
        <v>28</v>
      </c>
      <c r="E72" t="s">
        <v>39</v>
      </c>
      <c r="F72" t="s">
        <v>16</v>
      </c>
      <c r="G72">
        <v>5</v>
      </c>
      <c r="H72">
        <v>1710</v>
      </c>
      <c r="I72">
        <f t="shared" si="1"/>
        <v>8550</v>
      </c>
    </row>
    <row r="73" spans="1:9" x14ac:dyDescent="0.3">
      <c r="A73" s="2">
        <v>46259</v>
      </c>
      <c r="B73" t="s">
        <v>103</v>
      </c>
      <c r="C73" t="s">
        <v>48</v>
      </c>
      <c r="D73" t="s">
        <v>28</v>
      </c>
      <c r="E73" t="s">
        <v>39</v>
      </c>
      <c r="F73" t="s">
        <v>16</v>
      </c>
      <c r="G73">
        <v>4</v>
      </c>
      <c r="H73">
        <v>9000</v>
      </c>
      <c r="I73">
        <f t="shared" si="1"/>
        <v>36000</v>
      </c>
    </row>
    <row r="74" spans="1:9" x14ac:dyDescent="0.3">
      <c r="A74" s="2">
        <v>46182</v>
      </c>
      <c r="B74" t="s">
        <v>104</v>
      </c>
      <c r="C74" t="s">
        <v>36</v>
      </c>
      <c r="D74" t="s">
        <v>33</v>
      </c>
      <c r="E74" t="s">
        <v>25</v>
      </c>
      <c r="F74" t="s">
        <v>18</v>
      </c>
      <c r="G74">
        <v>6</v>
      </c>
      <c r="H74">
        <v>20900</v>
      </c>
      <c r="I74">
        <f t="shared" si="1"/>
        <v>125400</v>
      </c>
    </row>
    <row r="75" spans="1:9" x14ac:dyDescent="0.3">
      <c r="A75" s="2">
        <v>46193</v>
      </c>
      <c r="B75" t="s">
        <v>105</v>
      </c>
      <c r="C75" t="s">
        <v>41</v>
      </c>
      <c r="D75" t="s">
        <v>11</v>
      </c>
      <c r="E75" t="s">
        <v>39</v>
      </c>
      <c r="F75" t="s">
        <v>23</v>
      </c>
      <c r="G75">
        <v>7</v>
      </c>
      <c r="H75">
        <v>2500</v>
      </c>
      <c r="I75">
        <f t="shared" si="1"/>
        <v>17500</v>
      </c>
    </row>
    <row r="76" spans="1:9" x14ac:dyDescent="0.3">
      <c r="A76" s="2">
        <v>46055</v>
      </c>
      <c r="B76" t="s">
        <v>106</v>
      </c>
      <c r="C76" t="s">
        <v>48</v>
      </c>
      <c r="D76" t="s">
        <v>28</v>
      </c>
      <c r="E76" t="s">
        <v>39</v>
      </c>
      <c r="F76" t="s">
        <v>13</v>
      </c>
      <c r="G76">
        <v>4</v>
      </c>
      <c r="H76">
        <v>9450</v>
      </c>
      <c r="I76">
        <f t="shared" si="1"/>
        <v>37800</v>
      </c>
    </row>
    <row r="77" spans="1:9" x14ac:dyDescent="0.3">
      <c r="A77" s="2">
        <v>46168</v>
      </c>
      <c r="B77" t="s">
        <v>107</v>
      </c>
      <c r="C77" t="s">
        <v>27</v>
      </c>
      <c r="D77" t="s">
        <v>28</v>
      </c>
      <c r="E77" t="s">
        <v>15</v>
      </c>
      <c r="F77" t="s">
        <v>23</v>
      </c>
      <c r="G77">
        <v>5</v>
      </c>
      <c r="H77">
        <v>1890</v>
      </c>
      <c r="I77">
        <f t="shared" si="1"/>
        <v>9450</v>
      </c>
    </row>
    <row r="78" spans="1:9" x14ac:dyDescent="0.3">
      <c r="A78" s="2">
        <v>46076</v>
      </c>
      <c r="B78" t="s">
        <v>108</v>
      </c>
      <c r="C78" t="s">
        <v>41</v>
      </c>
      <c r="D78" t="s">
        <v>11</v>
      </c>
      <c r="E78" t="s">
        <v>39</v>
      </c>
      <c r="F78" t="s">
        <v>29</v>
      </c>
      <c r="G78">
        <v>7</v>
      </c>
      <c r="H78">
        <v>2500</v>
      </c>
      <c r="I78">
        <f t="shared" si="1"/>
        <v>17500</v>
      </c>
    </row>
    <row r="79" spans="1:9" x14ac:dyDescent="0.3">
      <c r="A79" s="2">
        <v>46195</v>
      </c>
      <c r="B79" t="s">
        <v>109</v>
      </c>
      <c r="C79" t="s">
        <v>46</v>
      </c>
      <c r="D79" t="s">
        <v>11</v>
      </c>
      <c r="E79" t="s">
        <v>12</v>
      </c>
      <c r="F79" t="s">
        <v>16</v>
      </c>
      <c r="G79">
        <v>4</v>
      </c>
      <c r="H79">
        <v>3675</v>
      </c>
      <c r="I79">
        <f t="shared" si="1"/>
        <v>14700</v>
      </c>
    </row>
    <row r="80" spans="1:9" x14ac:dyDescent="0.3">
      <c r="A80" s="2">
        <v>46154</v>
      </c>
      <c r="B80" t="s">
        <v>110</v>
      </c>
      <c r="C80" t="s">
        <v>41</v>
      </c>
      <c r="D80" t="s">
        <v>11</v>
      </c>
      <c r="E80" t="s">
        <v>12</v>
      </c>
      <c r="F80" t="s">
        <v>23</v>
      </c>
      <c r="G80">
        <v>6</v>
      </c>
      <c r="H80">
        <v>2375</v>
      </c>
      <c r="I80">
        <f t="shared" si="1"/>
        <v>14250</v>
      </c>
    </row>
    <row r="81" spans="1:9" x14ac:dyDescent="0.3">
      <c r="A81" s="2">
        <v>46229</v>
      </c>
      <c r="B81" t="s">
        <v>111</v>
      </c>
      <c r="C81" t="s">
        <v>44</v>
      </c>
      <c r="D81" t="s">
        <v>33</v>
      </c>
      <c r="E81" t="s">
        <v>15</v>
      </c>
      <c r="F81" t="s">
        <v>16</v>
      </c>
      <c r="G81">
        <v>4</v>
      </c>
      <c r="H81">
        <v>14000</v>
      </c>
      <c r="I81">
        <f t="shared" si="1"/>
        <v>56000</v>
      </c>
    </row>
    <row r="82" spans="1:9" x14ac:dyDescent="0.3">
      <c r="A82" s="2">
        <v>46144</v>
      </c>
      <c r="B82" t="s">
        <v>112</v>
      </c>
      <c r="C82" t="s">
        <v>44</v>
      </c>
      <c r="D82" t="s">
        <v>33</v>
      </c>
      <c r="E82" t="s">
        <v>39</v>
      </c>
      <c r="F82" t="s">
        <v>18</v>
      </c>
      <c r="G82">
        <v>2</v>
      </c>
      <c r="H82">
        <v>14700</v>
      </c>
      <c r="I82">
        <f t="shared" si="1"/>
        <v>29400</v>
      </c>
    </row>
    <row r="83" spans="1:9" x14ac:dyDescent="0.3">
      <c r="A83" s="2">
        <v>46206</v>
      </c>
      <c r="B83" t="s">
        <v>113</v>
      </c>
      <c r="C83" t="s">
        <v>44</v>
      </c>
      <c r="D83" t="s">
        <v>33</v>
      </c>
      <c r="E83" t="s">
        <v>39</v>
      </c>
      <c r="F83" t="s">
        <v>13</v>
      </c>
      <c r="G83">
        <v>7</v>
      </c>
      <c r="H83">
        <v>14700</v>
      </c>
      <c r="I83">
        <f t="shared" si="1"/>
        <v>102900</v>
      </c>
    </row>
    <row r="84" spans="1:9" x14ac:dyDescent="0.3">
      <c r="A84" s="2">
        <v>46190</v>
      </c>
      <c r="B84" t="s">
        <v>114</v>
      </c>
      <c r="C84" t="s">
        <v>38</v>
      </c>
      <c r="D84" t="s">
        <v>11</v>
      </c>
      <c r="E84" t="s">
        <v>39</v>
      </c>
      <c r="F84" t="s">
        <v>13</v>
      </c>
      <c r="G84">
        <v>1</v>
      </c>
      <c r="H84">
        <v>1710</v>
      </c>
      <c r="I84">
        <f t="shared" si="1"/>
        <v>1710</v>
      </c>
    </row>
    <row r="85" spans="1:9" x14ac:dyDescent="0.3">
      <c r="A85" s="2">
        <v>46228</v>
      </c>
      <c r="B85" t="s">
        <v>115</v>
      </c>
      <c r="C85" t="s">
        <v>38</v>
      </c>
      <c r="D85" t="s">
        <v>11</v>
      </c>
      <c r="E85" t="s">
        <v>12</v>
      </c>
      <c r="F85" t="s">
        <v>16</v>
      </c>
      <c r="G85">
        <v>8</v>
      </c>
      <c r="H85">
        <v>1710</v>
      </c>
      <c r="I85">
        <f t="shared" si="1"/>
        <v>13680</v>
      </c>
    </row>
    <row r="86" spans="1:9" x14ac:dyDescent="0.3">
      <c r="A86" s="2">
        <v>46057</v>
      </c>
      <c r="B86" t="s">
        <v>116</v>
      </c>
      <c r="C86" t="s">
        <v>46</v>
      </c>
      <c r="D86" t="s">
        <v>11</v>
      </c>
      <c r="E86" t="s">
        <v>39</v>
      </c>
      <c r="F86" t="s">
        <v>18</v>
      </c>
      <c r="G86">
        <v>8</v>
      </c>
      <c r="H86">
        <v>3500</v>
      </c>
      <c r="I86">
        <f t="shared" si="1"/>
        <v>28000</v>
      </c>
    </row>
    <row r="87" spans="1:9" x14ac:dyDescent="0.3">
      <c r="A87" s="2">
        <v>46132</v>
      </c>
      <c r="B87" t="s">
        <v>117</v>
      </c>
      <c r="C87" t="s">
        <v>48</v>
      </c>
      <c r="D87" t="s">
        <v>28</v>
      </c>
      <c r="E87" t="s">
        <v>39</v>
      </c>
      <c r="F87" t="s">
        <v>29</v>
      </c>
      <c r="G87">
        <v>8</v>
      </c>
      <c r="H87">
        <v>9000</v>
      </c>
      <c r="I87">
        <f t="shared" si="1"/>
        <v>72000</v>
      </c>
    </row>
    <row r="88" spans="1:9" x14ac:dyDescent="0.3">
      <c r="A88" s="2">
        <v>46215</v>
      </c>
      <c r="B88" t="s">
        <v>118</v>
      </c>
      <c r="C88" t="s">
        <v>41</v>
      </c>
      <c r="D88" t="s">
        <v>11</v>
      </c>
      <c r="E88" t="s">
        <v>39</v>
      </c>
      <c r="F88" t="s">
        <v>13</v>
      </c>
      <c r="G88">
        <v>4</v>
      </c>
      <c r="H88">
        <v>2500</v>
      </c>
      <c r="I88">
        <f t="shared" si="1"/>
        <v>10000</v>
      </c>
    </row>
    <row r="89" spans="1:9" x14ac:dyDescent="0.3">
      <c r="A89" s="2">
        <v>46135</v>
      </c>
      <c r="B89" t="s">
        <v>119</v>
      </c>
      <c r="C89" t="s">
        <v>41</v>
      </c>
      <c r="D89" t="s">
        <v>11</v>
      </c>
      <c r="E89" t="s">
        <v>12</v>
      </c>
      <c r="F89" t="s">
        <v>23</v>
      </c>
      <c r="G89">
        <v>2</v>
      </c>
      <c r="H89">
        <v>2500</v>
      </c>
      <c r="I89">
        <f t="shared" si="1"/>
        <v>5000</v>
      </c>
    </row>
    <row r="90" spans="1:9" x14ac:dyDescent="0.3">
      <c r="A90" s="2">
        <v>46104</v>
      </c>
      <c r="B90" t="s">
        <v>120</v>
      </c>
      <c r="C90" t="s">
        <v>36</v>
      </c>
      <c r="D90" t="s">
        <v>33</v>
      </c>
      <c r="E90" t="s">
        <v>12</v>
      </c>
      <c r="F90" t="s">
        <v>13</v>
      </c>
      <c r="G90">
        <v>2</v>
      </c>
      <c r="H90">
        <v>22000</v>
      </c>
      <c r="I90">
        <f t="shared" si="1"/>
        <v>44000</v>
      </c>
    </row>
    <row r="91" spans="1:9" x14ac:dyDescent="0.3">
      <c r="A91" s="2">
        <v>46200</v>
      </c>
      <c r="B91" t="s">
        <v>121</v>
      </c>
      <c r="C91" t="s">
        <v>20</v>
      </c>
      <c r="D91" t="s">
        <v>21</v>
      </c>
      <c r="E91" t="s">
        <v>15</v>
      </c>
      <c r="F91" t="s">
        <v>29</v>
      </c>
      <c r="G91">
        <v>3</v>
      </c>
      <c r="H91">
        <v>12500</v>
      </c>
      <c r="I91">
        <f t="shared" si="1"/>
        <v>37500</v>
      </c>
    </row>
    <row r="92" spans="1:9" x14ac:dyDescent="0.3">
      <c r="A92" s="2">
        <v>46107</v>
      </c>
      <c r="B92" t="s">
        <v>122</v>
      </c>
      <c r="C92" t="s">
        <v>20</v>
      </c>
      <c r="D92" t="s">
        <v>21</v>
      </c>
      <c r="E92" t="s">
        <v>15</v>
      </c>
      <c r="F92" t="s">
        <v>13</v>
      </c>
      <c r="G92">
        <v>8</v>
      </c>
      <c r="H92">
        <v>13125</v>
      </c>
      <c r="I92">
        <f t="shared" si="1"/>
        <v>105000</v>
      </c>
    </row>
    <row r="93" spans="1:9" x14ac:dyDescent="0.3">
      <c r="A93" s="2">
        <v>46122</v>
      </c>
      <c r="B93" t="s">
        <v>123</v>
      </c>
      <c r="C93" t="s">
        <v>20</v>
      </c>
      <c r="D93" t="s">
        <v>21</v>
      </c>
      <c r="E93" t="s">
        <v>39</v>
      </c>
      <c r="F93" t="s">
        <v>16</v>
      </c>
      <c r="G93">
        <v>1</v>
      </c>
      <c r="H93">
        <v>13125</v>
      </c>
      <c r="I93">
        <f t="shared" si="1"/>
        <v>13125</v>
      </c>
    </row>
    <row r="94" spans="1:9" x14ac:dyDescent="0.3">
      <c r="A94" s="2">
        <v>46099</v>
      </c>
      <c r="B94" t="s">
        <v>124</v>
      </c>
      <c r="C94" t="s">
        <v>36</v>
      </c>
      <c r="D94" t="s">
        <v>33</v>
      </c>
      <c r="E94" t="s">
        <v>12</v>
      </c>
      <c r="F94" t="s">
        <v>29</v>
      </c>
      <c r="G94">
        <v>7</v>
      </c>
      <c r="H94">
        <v>23100</v>
      </c>
      <c r="I94">
        <f t="shared" si="1"/>
        <v>161700</v>
      </c>
    </row>
    <row r="95" spans="1:9" x14ac:dyDescent="0.3">
      <c r="A95" s="2">
        <v>46092</v>
      </c>
      <c r="B95" t="s">
        <v>125</v>
      </c>
      <c r="C95" t="s">
        <v>44</v>
      </c>
      <c r="D95" t="s">
        <v>33</v>
      </c>
      <c r="E95" t="s">
        <v>15</v>
      </c>
      <c r="F95" t="s">
        <v>29</v>
      </c>
      <c r="G95">
        <v>7</v>
      </c>
      <c r="H95">
        <v>14700</v>
      </c>
      <c r="I95">
        <f t="shared" si="1"/>
        <v>102900</v>
      </c>
    </row>
    <row r="96" spans="1:9" x14ac:dyDescent="0.3">
      <c r="A96" s="2">
        <v>46194</v>
      </c>
      <c r="B96" t="s">
        <v>126</v>
      </c>
      <c r="C96" t="s">
        <v>36</v>
      </c>
      <c r="D96" t="s">
        <v>33</v>
      </c>
      <c r="E96" t="s">
        <v>39</v>
      </c>
      <c r="F96" t="s">
        <v>13</v>
      </c>
      <c r="G96">
        <v>7</v>
      </c>
      <c r="H96">
        <v>22000</v>
      </c>
      <c r="I96">
        <f t="shared" si="1"/>
        <v>154000</v>
      </c>
    </row>
    <row r="97" spans="1:9" x14ac:dyDescent="0.3">
      <c r="A97" s="2">
        <v>46159</v>
      </c>
      <c r="B97" t="s">
        <v>127</v>
      </c>
      <c r="C97" t="s">
        <v>27</v>
      </c>
      <c r="D97" t="s">
        <v>28</v>
      </c>
      <c r="E97" t="s">
        <v>15</v>
      </c>
      <c r="F97" t="s">
        <v>16</v>
      </c>
      <c r="G97">
        <v>1</v>
      </c>
      <c r="H97">
        <v>1890</v>
      </c>
      <c r="I97">
        <f t="shared" si="1"/>
        <v>1890</v>
      </c>
    </row>
    <row r="98" spans="1:9" x14ac:dyDescent="0.3">
      <c r="A98" s="2">
        <v>46057</v>
      </c>
      <c r="B98" t="s">
        <v>128</v>
      </c>
      <c r="C98" t="s">
        <v>20</v>
      </c>
      <c r="D98" t="s">
        <v>21</v>
      </c>
      <c r="E98" t="s">
        <v>15</v>
      </c>
      <c r="F98" t="s">
        <v>23</v>
      </c>
      <c r="G98">
        <v>8</v>
      </c>
      <c r="H98">
        <v>12500</v>
      </c>
      <c r="I98">
        <f t="shared" si="1"/>
        <v>100000</v>
      </c>
    </row>
    <row r="99" spans="1:9" x14ac:dyDescent="0.3">
      <c r="A99" s="2">
        <v>46106</v>
      </c>
      <c r="B99" t="s">
        <v>129</v>
      </c>
      <c r="C99" t="s">
        <v>20</v>
      </c>
      <c r="D99" t="s">
        <v>21</v>
      </c>
      <c r="E99" t="s">
        <v>25</v>
      </c>
      <c r="F99" t="s">
        <v>23</v>
      </c>
      <c r="G99">
        <v>4</v>
      </c>
      <c r="H99">
        <v>13125</v>
      </c>
      <c r="I99">
        <f t="shared" si="1"/>
        <v>52500</v>
      </c>
    </row>
    <row r="100" spans="1:9" x14ac:dyDescent="0.3">
      <c r="A100" s="2">
        <v>46094</v>
      </c>
      <c r="B100" t="s">
        <v>130</v>
      </c>
      <c r="C100" t="s">
        <v>20</v>
      </c>
      <c r="D100" t="s">
        <v>21</v>
      </c>
      <c r="E100" t="s">
        <v>15</v>
      </c>
      <c r="F100" t="s">
        <v>29</v>
      </c>
      <c r="G100">
        <v>7</v>
      </c>
      <c r="H100">
        <v>12500</v>
      </c>
      <c r="I100">
        <f t="shared" si="1"/>
        <v>87500</v>
      </c>
    </row>
    <row r="101" spans="1:9" x14ac:dyDescent="0.3">
      <c r="A101" s="2">
        <v>46214</v>
      </c>
      <c r="B101" t="s">
        <v>131</v>
      </c>
      <c r="C101" t="s">
        <v>32</v>
      </c>
      <c r="D101" t="s">
        <v>33</v>
      </c>
      <c r="E101" t="s">
        <v>12</v>
      </c>
      <c r="F101" t="s">
        <v>16</v>
      </c>
      <c r="G101">
        <v>1</v>
      </c>
      <c r="H101">
        <v>55000</v>
      </c>
      <c r="I101">
        <f t="shared" si="1"/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REVENUE</vt:lpstr>
      <vt:lpstr>PRODUCT QUANTITY</vt:lpstr>
      <vt:lpstr>REGION REVENUE</vt:lpstr>
      <vt:lpstr>SALESPERSON REVENUE</vt:lpstr>
      <vt:lpstr>DASHBOARD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Saanvi Singh</cp:lastModifiedBy>
  <dcterms:created xsi:type="dcterms:W3CDTF">2026-08-31T17:48:47Z</dcterms:created>
  <dcterms:modified xsi:type="dcterms:W3CDTF">2026-09-02T15:48:15Z</dcterms:modified>
</cp:coreProperties>
</file>